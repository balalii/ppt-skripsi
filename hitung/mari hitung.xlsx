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qbal Ali\Downloads\"/>
    </mc:Choice>
  </mc:AlternateContent>
  <xr:revisionPtr revIDLastSave="0" documentId="13_ncr:1_{F600EF8F-AD43-4C15-B7E9-1CF8828E26AE}" xr6:coauthVersionLast="47" xr6:coauthVersionMax="47" xr10:uidLastSave="{00000000-0000-0000-0000-000000000000}"/>
  <bookViews>
    <workbookView xWindow="-108" yWindow="-108" windowWidth="23256" windowHeight="13176" tabRatio="938" firstSheet="4" activeTab="9" xr2:uid="{00000000-000D-0000-FFFF-FFFF00000000}"/>
  </bookViews>
  <sheets>
    <sheet name="PARAMETER" sheetId="1" r:id="rId1"/>
    <sheet name="PETUNJUK" sheetId="2" r:id="rId2"/>
    <sheet name="2.1 RRF Dasar" sheetId="3" r:id="rId3"/>
    <sheet name="2.2 RRF Berbobot" sheetId="4" r:id="rId4"/>
    <sheet name="4.1 RRF Implementasi" sheetId="5" r:id="rId5"/>
    <sheet name="4.2 Normalisasi" sheetId="6" r:id="rId6"/>
    <sheet name="4.3 Sigmoid Rerank" sheetId="7" r:id="rId7"/>
    <sheet name="4.5 Faithfulness" sheetId="8" r:id="rId8"/>
    <sheet name="4.6 Answer Relevancy" sheetId="9" r:id="rId9"/>
    <sheet name="4.7 Precision per-k" sheetId="10" r:id="rId10"/>
    <sheet name="4.8 Context Precision" sheetId="11" r:id="rId11"/>
    <sheet name="4.9 Rata-rata per Run" sheetId="12" r:id="rId12"/>
    <sheet name="4.10 Skor Akhir" sheetId="13" r:id="rId13"/>
    <sheet name="Persentase Peningkatan" sheetId="14" r:id="rId14"/>
    <sheet name="4.4 Black Box (Terpisah)" sheetId="15" r:id="rId1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5" l="1"/>
  <c r="C8" i="15"/>
  <c r="C5" i="13"/>
  <c r="C14" i="12"/>
  <c r="C19" i="12" s="1"/>
  <c r="E9" i="13" s="1"/>
  <c r="F9" i="13" s="1"/>
  <c r="D9" i="14" s="1"/>
  <c r="D11" i="12"/>
  <c r="D19" i="12" s="1"/>
  <c r="E10" i="13" s="1"/>
  <c r="F10" i="13" s="1"/>
  <c r="D7" i="14" s="1"/>
  <c r="C5" i="12"/>
  <c r="C11" i="10"/>
  <c r="D11" i="11" s="1"/>
  <c r="C10" i="10"/>
  <c r="D10" i="11" s="1"/>
  <c r="C9" i="10"/>
  <c r="D9" i="11" s="1"/>
  <c r="C8" i="10"/>
  <c r="D8" i="11" s="1"/>
  <c r="D7" i="10"/>
  <c r="D8" i="10" s="1"/>
  <c r="C7" i="10"/>
  <c r="D7" i="11" s="1"/>
  <c r="E13" i="11" s="1"/>
  <c r="C14" i="9"/>
  <c r="C6" i="9"/>
  <c r="F10" i="8"/>
  <c r="E22" i="7"/>
  <c r="E21" i="7"/>
  <c r="E20" i="7"/>
  <c r="E19" i="7"/>
  <c r="E18" i="7"/>
  <c r="C14" i="7"/>
  <c r="D14" i="7" s="1"/>
  <c r="C13" i="7"/>
  <c r="D13" i="7" s="1"/>
  <c r="D12" i="7"/>
  <c r="C12" i="7"/>
  <c r="D11" i="7"/>
  <c r="C11" i="7"/>
  <c r="C10" i="7"/>
  <c r="D10" i="7" s="1"/>
  <c r="C6" i="7"/>
  <c r="F19" i="5"/>
  <c r="E19" i="5"/>
  <c r="G18" i="5"/>
  <c r="E18" i="5"/>
  <c r="G17" i="5"/>
  <c r="F17" i="5"/>
  <c r="F16" i="5"/>
  <c r="F13" i="5"/>
  <c r="C9" i="5"/>
  <c r="C8" i="5"/>
  <c r="F18" i="5" s="1"/>
  <c r="C7" i="5"/>
  <c r="E17" i="5" s="1"/>
  <c r="H17" i="5" s="1"/>
  <c r="C6" i="5"/>
  <c r="G14" i="5" s="1"/>
  <c r="E12" i="4"/>
  <c r="C12" i="4"/>
  <c r="C11" i="4"/>
  <c r="E11" i="4" s="1"/>
  <c r="C10" i="4"/>
  <c r="E10" i="4" s="1"/>
  <c r="E13" i="4" s="1"/>
  <c r="C6" i="4"/>
  <c r="D12" i="3"/>
  <c r="D11" i="3"/>
  <c r="C6" i="3"/>
  <c r="D10" i="3" s="1"/>
  <c r="D13" i="3" s="1"/>
  <c r="H18" i="5" l="1"/>
  <c r="D9" i="10"/>
  <c r="E8" i="10"/>
  <c r="C8" i="11" s="1"/>
  <c r="E8" i="11" s="1"/>
  <c r="F9" i="14"/>
  <c r="E9" i="14"/>
  <c r="F7" i="14"/>
  <c r="E7" i="14"/>
  <c r="G13" i="5"/>
  <c r="E16" i="5"/>
  <c r="E7" i="10"/>
  <c r="C7" i="11" s="1"/>
  <c r="E7" i="11" s="1"/>
  <c r="E15" i="5"/>
  <c r="F15" i="5"/>
  <c r="E14" i="5"/>
  <c r="G15" i="5"/>
  <c r="G19" i="5"/>
  <c r="H19" i="5" s="1"/>
  <c r="F14" i="5"/>
  <c r="I6" i="5"/>
  <c r="C7" i="6" s="1"/>
  <c r="G16" i="5"/>
  <c r="E13" i="5"/>
  <c r="I19" i="5" l="1"/>
  <c r="H14" i="5"/>
  <c r="H15" i="5"/>
  <c r="I17" i="5"/>
  <c r="H13" i="5"/>
  <c r="H16" i="5"/>
  <c r="E9" i="10"/>
  <c r="C9" i="11" s="1"/>
  <c r="E9" i="11" s="1"/>
  <c r="D10" i="10"/>
  <c r="I18" i="5"/>
  <c r="J13" i="5" l="1"/>
  <c r="I13" i="5"/>
  <c r="C6" i="6"/>
  <c r="F10" i="6" s="1"/>
  <c r="J18" i="5"/>
  <c r="J17" i="5"/>
  <c r="I15" i="5"/>
  <c r="J15" i="5"/>
  <c r="J19" i="5"/>
  <c r="J16" i="5"/>
  <c r="I16" i="5"/>
  <c r="J14" i="5"/>
  <c r="I14" i="5"/>
  <c r="E10" i="10"/>
  <c r="C10" i="11" s="1"/>
  <c r="E10" i="11" s="1"/>
  <c r="E12" i="11" s="1"/>
  <c r="E14" i="11" s="1"/>
  <c r="E11" i="12" s="1"/>
  <c r="E19" i="12" s="1"/>
  <c r="E11" i="13" s="1"/>
  <c r="F11" i="13" s="1"/>
  <c r="D8" i="14" s="1"/>
  <c r="D11" i="10"/>
  <c r="E11" i="10" s="1"/>
  <c r="C11" i="11" s="1"/>
  <c r="E11" i="11" s="1"/>
  <c r="F8" i="14" l="1"/>
  <c r="E8" i="14"/>
</calcChain>
</file>

<file path=xl/sharedStrings.xml><?xml version="1.0" encoding="utf-8"?>
<sst xmlns="http://schemas.openxmlformats.org/spreadsheetml/2006/main" count="227" uniqueCount="206">
  <si>
    <t>PARAMETER PUSAT (SUMBER SEMUA ANGKA)</t>
  </si>
  <si>
    <t>Semua sheet lain menarik nilai dari sel kuning di sini. Ubah di sini → seluruh workbook ikut berubah.</t>
  </si>
  <si>
    <t>Inilah satu-satunya tempat mengubah parameter utama. Sel kuning = boleh diubah.</t>
  </si>
  <si>
    <t>k — konstanta penghalus RRF</t>
  </si>
  <si>
    <t>dipakai sheet 2.1, 2.2, 4.1, 4.2</t>
  </si>
  <si>
    <t>w0 — bobot pertanyaan asli</t>
  </si>
  <si>
    <t>dipakai sheet 2.2, 4.1, 4.2</t>
  </si>
  <si>
    <t>w1 — bobot variasi 1</t>
  </si>
  <si>
    <t>w2 — bobot variasi 2</t>
  </si>
  <si>
    <t>n — jumlah daftar digabung</t>
  </si>
  <si>
    <t>dipakai sheet 4.1</t>
  </si>
  <si>
    <t>TOP_N_RESULTS — dokumen konteks final</t>
  </si>
  <si>
    <t>dipakai sheet 4.3, 4.7, 4.8</t>
  </si>
  <si>
    <t>RERANK_SCORE_THRESHOLD</t>
  </si>
  <si>
    <t>dipakai sheet 4.3</t>
  </si>
  <si>
    <t>N — jumlah pertanyaan uji</t>
  </si>
  <si>
    <t>dipakai sheet 4.9</t>
  </si>
  <si>
    <t>R — jumlah pengulangan (run)</t>
  </si>
  <si>
    <t>dipakai sheet 4.10</t>
  </si>
  <si>
    <t>N_var — pertanyaan tiruan (answer relevancy)</t>
  </si>
  <si>
    <t>dipakai sheet 4.6</t>
  </si>
  <si>
    <t>Jumlah skenario Black Box</t>
  </si>
  <si>
    <t>dipakai sheet 4.4</t>
  </si>
  <si>
    <t>PETUNJUK &amp; PETA ALIRAN DATA</t>
  </si>
  <si>
    <t>Tiap rumus punya satu sheet. Sheet-sheet SALING TERHUBUNG: keluaran satu sheet menjadi masukan sheet berikutnya. Ubah angka di sheet PARAMETER atau di sel kuning, maka seluruh rantai ikut terhitung ulang.</t>
  </si>
  <si>
    <t>Warna sel</t>
  </si>
  <si>
    <t>Kuning = input manual (boleh diubah)</t>
  </si>
  <si>
    <t>Biru = nilai DITARIK dari sheet lain (jangan diketik ulang)</t>
  </si>
  <si>
    <t>Oranye = hasil akhir perhitungan</t>
  </si>
  <si>
    <t>Hijau = kotak rumus</t>
  </si>
  <si>
    <t>Peta aliran (dari ujung ke ujung)</t>
  </si>
  <si>
    <t>PARAMETER  (k, bobot, ambang, N, R)  →  menyuplai SEMUA sheet</t>
  </si>
  <si>
    <t>│</t>
  </si>
  <si>
    <t>ALUR A — RETRIEVAL &amp; PERINGKAT:</t>
  </si>
  <si>
    <t xml:space="preserve">  2.1 RRF Dasar → 2.2 RRF Berbobot → 4.1 RRF Implementasi (Tabel 4.7→4.8)</t>
  </si>
  <si>
    <t xml:space="preserve">        4.1  →  4.2 Normalisasi (menarik skor mentah &amp; skor maks dari 4.1)</t>
  </si>
  <si>
    <t xml:space="preserve">        4.1  →  4.3 Sigmoid Rerank (12 kandidat → TOP-5 konteks final)</t>
  </si>
  <si>
    <t>ALUR B — KUALITAS KONTEKS:</t>
  </si>
  <si>
    <t xml:space="preserve">  4.3 (v_k TOP-5) → 4.7 Precision per-k → 4.8 Context Precision (= 0,8333)</t>
  </si>
  <si>
    <t>ALUR C — KUALITAS JAWABAN:</t>
  </si>
  <si>
    <t xml:space="preserve">  4.5 Faithfulness (=0,8182)   4.6 Answer Relevancy (=0,8439)</t>
  </si>
  <si>
    <t>AGREGASI (menyatukan B &amp; C):</t>
  </si>
  <si>
    <t xml:space="preserve">  4.5, 4.6, 4.8  →  4.9 Rata-rata per Run (10 pertanyaan)</t>
  </si>
  <si>
    <t xml:space="preserve">        4.9  →  4.10 Skor Akhir (3 run)  →  Persentase Peningkatan</t>
  </si>
  <si>
    <t>KELOMPOK TERPISAH (tidak berkorelasi dengan kualitas RAGAS):</t>
  </si>
  <si>
    <t xml:space="preserve">  4.4 Black Box — pengujian fungsional, hanya memakai PARAMETER</t>
  </si>
  <si>
    <t>Cara demonstrasi ke dosen: buka sheet yang ditanya → tunjuk kotak hijau (rumus) → ubah satu sel kuning → tunjuk sel oranye yang berubah, lalu buka sheet berikutnya untuk menunjukkan perubahan ikut mengalir.</t>
  </si>
  <si>
    <t>PERSAMAAN (2.1) — RRF DASAR (Cormack dkk., 2009)</t>
  </si>
  <si>
    <t>Peringkat r mulai 1. Konstanta k ditarik dari sheet PARAMETER.</t>
  </si>
  <si>
    <t>Konstanta (terhubung ke PARAMETER)</t>
  </si>
  <si>
    <t>k</t>
  </si>
  <si>
    <t>← ditarik dari PARAMETER</t>
  </si>
  <si>
    <t>INPUT — peringkat dokumen d pada tiap daftar (kosongkan bila tak muncul)</t>
  </si>
  <si>
    <t>Daftar ke-</t>
  </si>
  <si>
    <t>Peringkat r(d)</t>
  </si>
  <si>
    <t>Kontribusi 1/(k+r)</t>
  </si>
  <si>
    <t>Daftar 1</t>
  </si>
  <si>
    <t>Daftar 2</t>
  </si>
  <si>
    <t>Daftar 3</t>
  </si>
  <si>
    <t>RRFscore(d) =</t>
  </si>
  <si>
    <t>Peringkat teratas (r=1) → 1/(k+1)=1/61≈0,016393. Rumus ini adalah dasar teori bagi sheet 4.1.</t>
  </si>
  <si>
    <t>PERSAMAAN (2.2) — RRF BERBOBOT</t>
  </si>
  <si>
    <t>Bobot wi membedakan tiap daftar. k &amp; bobot ditarik dari PARAMETER.</t>
  </si>
  <si>
    <t>Konstanta &amp; bobot (terhubung ke PARAMETER)</t>
  </si>
  <si>
    <t>← PARAMETER</t>
  </si>
  <si>
    <t>INPUT — peringkat ri(d) pada tiap daftar (bobot mengikuti PARAMETER)</t>
  </si>
  <si>
    <t>Daftar ke-i</t>
  </si>
  <si>
    <t>Bobot wi</t>
  </si>
  <si>
    <t>Peringkat ri(d)</t>
  </si>
  <si>
    <t>Kontribusi wi/(k+ri)</t>
  </si>
  <si>
    <t>Daftar 1 (asli)</t>
  </si>
  <si>
    <t>Daftar 2 (variasi)</t>
  </si>
  <si>
    <t>Daftar 3 (variasi)</t>
  </si>
  <si>
    <t>RRFw(d) =</t>
  </si>
  <si>
    <t>PERSAMAAN (4.1) — SKOR RRF IMPLEMENTASI (BERBOBOT + KONSTANTA 1)</t>
  </si>
  <si>
    <t>Peringkat r mulai 0 → penyebut k+ri+1. Parameter ditarik dari PARAMETER.</t>
  </si>
  <si>
    <t>Parameter (terhubung ke PARAMETER)</t>
  </si>
  <si>
    <t>Skor maks teoretis = (w0+w1+w2)·1/(k+1)</t>
  </si>
  <si>
    <t>w0</t>
  </si>
  <si>
    <t>(skor maks dipakai sheet 4.2)</t>
  </si>
  <si>
    <t>w1</t>
  </si>
  <si>
    <t>w2</t>
  </si>
  <si>
    <t>SIMULASI Tabel 4.7→4.8 — isi peringkat r; kosongkan bila dokumen tak muncul</t>
  </si>
  <si>
    <t>Dokumen</t>
  </si>
  <si>
    <t>r Q0</t>
  </si>
  <si>
    <t>r Q1</t>
  </si>
  <si>
    <t>r Q2</t>
  </si>
  <si>
    <t>Kontrib. Q0</t>
  </si>
  <si>
    <t>Kontrib. Q1</t>
  </si>
  <si>
    <t>Kontrib. Q2</t>
  </si>
  <si>
    <t>Skor mentah</t>
  </si>
  <si>
    <t>Ternormalisasi</t>
  </si>
  <si>
    <t>Peringkat</t>
  </si>
  <si>
    <t>D-A: Syarat Pendaftaran SPMB</t>
  </si>
  <si>
    <t>D-B: Daftar Dokumen Pendaftaran</t>
  </si>
  <si>
    <t>D-D: Jadwal Pendaftaran SPMB</t>
  </si>
  <si>
    <t>D-C: Profil SMK Muhammadiyah</t>
  </si>
  <si>
    <t>D-E: Biaya Pendaftaran</t>
  </si>
  <si>
    <t>D-F: FAQ Pendaftaran</t>
  </si>
  <si>
    <t>D-G: Sambutan Kepala Sekolah</t>
  </si>
  <si>
    <t>Keluaran sheet ini (skor mentah D-A = H13, skor maks = I6) ditarik oleh sheet 4.2. Kolom skor mentah sudah cocok dengan Tabel 4.8 v2 (D-A 0,09783; D-B 0,09678; D-D 0,09475; dst.).</t>
  </si>
  <si>
    <t>PERSAMAAN (4.2) — NORMALISASI SKOR RRF</t>
  </si>
  <si>
    <t>Skor mentah &amp; skor maks DITARIK dari sheet 4.1. Bobot dari PARAMETER.</t>
  </si>
  <si>
    <t>Nilai terhubung</t>
  </si>
  <si>
    <t>Skor RRF mentah D-A (dari sheet 4.1)</t>
  </si>
  <si>
    <t>Skor maksimum teoretis (dari sheet 4.1)</t>
  </si>
  <si>
    <t>PERHITUNGAN</t>
  </si>
  <si>
    <t>scoreRRF-norm = min( mentah / maks , 1 )</t>
  </si>
  <si>
    <t>Contoh: 0,09783 / 0,09836 = 0,9946 (cocok Tabel 4.8). Ganti dokumen di sheet 4.1 → nilai di sini ikut berubah.</t>
  </si>
  <si>
    <t>PERSAMAAN (4.3) — SIGMOID (CROSS-ENCODER RERANKING)</t>
  </si>
  <si>
    <t>Logit → (0,1). Ambang &amp; TOP_N dari PARAMETER. Keluaran v_k → sheet 4.7 &amp; 4.8.</t>
  </si>
  <si>
    <t>Ambang (terhubung ke PARAMETER)</t>
  </si>
  <si>
    <t>A. Demonstrasi konversi logit → sigmoid (ubah logit untuk simulasi)</t>
  </si>
  <si>
    <t>Logit s</t>
  </si>
  <si>
    <t>σ(s)=1/(1+e^−s)</t>
  </si>
  <si>
    <t>Lolos ambang?</t>
  </si>
  <si>
    <t>B. Konteks final TOP-5 untuk pertanyaan contoh (Q3) — indikator v_k mengalir ke sheet 4.7/4.8</t>
  </si>
  <si>
    <t>Peringkat k</t>
  </si>
  <si>
    <t>Logit</t>
  </si>
  <si>
    <t>σ(s)</t>
  </si>
  <si>
    <t>v_k (relevan thd acuan)</t>
  </si>
  <si>
    <t>Dok-1 (kompetensi keahlian)</t>
  </si>
  <si>
    <t>Dok-2 (profil sekolah)</t>
  </si>
  <si>
    <t>Dok-3 (daftar jurusan TKJ/TSM)</t>
  </si>
  <si>
    <t>Dok-4 (sambutan kepsek)</t>
  </si>
  <si>
    <t>Dok-5 (visi-misi)</t>
  </si>
  <si>
    <t>Kolom v_k (=1 relevan, =0 tidak) menghasilkan pola (1,0,1,0,0) → dibaca sheet 4.7 untuk menghitung Precision per-k.</t>
  </si>
  <si>
    <t>PERSAMAAN (4.5) — FAITHFULNESS</t>
  </si>
  <si>
    <t>Rasio klaim yang didukung konteks. Keluaran → sheet 4.9 (Pertanyaan ke-6).</t>
  </si>
  <si>
    <t>Faithfulness = C(didukung) / C(total)</t>
  </si>
  <si>
    <t>INPUT — jumlah klaim (contoh: Pertanyaan ke-6)</t>
  </si>
  <si>
    <t>C(didukung) — klaim yang dapat ditelusuri ke konteks</t>
  </si>
  <si>
    <t>C(total) — jumlah seluruh klaim pada jawaban</t>
  </si>
  <si>
    <t>9/11 = 0,8182 (cocok naskah). Nilai ini dipakai sheet 4.9 sebagai skor faithfulness Pertanyaan ke-6.</t>
  </si>
  <si>
    <t>PERSAMAAN (4.6) — ANSWER RELEVANCY</t>
  </si>
  <si>
    <t>Rata-rata cosine similarity pertanyaan tiruan vs asli. Keluaran → sheet 4.9 (Pertanyaan ke-3).</t>
  </si>
  <si>
    <t>Konstanta</t>
  </si>
  <si>
    <t>N — jumlah pertanyaan tiruan (dari PARAMETER)</t>
  </si>
  <si>
    <t>INPUT — cosine similarity tiap pertanyaan tiruan (contoh: Pertanyaan ke-3)</t>
  </si>
  <si>
    <t>Pertanyaan tiruan ke-i</t>
  </si>
  <si>
    <t>cos(E(gi),E(o))</t>
  </si>
  <si>
    <t>Answer Relevancy = rata-rata cosine</t>
  </si>
  <si>
    <t>(0,8612+0,8455+0,8250)/3 = 0,8439. Dipakai sheet 4.9 sebagai answer relevancy Pertanyaan ke-3.</t>
  </si>
  <si>
    <t>PERSAMAAN (4.7) — PRECISION PADA PERINGKAT k</t>
  </si>
  <si>
    <t>Indikator v_k DITARIK dari sheet 4.3. Hasil Precision_k → dibaca sheet 4.8.</t>
  </si>
  <si>
    <t>PERHITUNGAN — v_k mengalir dari konteks TOP-5 (sheet 4.3)</t>
  </si>
  <si>
    <t>v_k (dari 4.3)</t>
  </si>
  <si>
    <t>TP(k) kumulatif</t>
  </si>
  <si>
    <t>Precision(k)=TP/k</t>
  </si>
  <si>
    <t>Precision(k) hanya dihitung kumulatif; kontribusinya ke skor akhir disaring oleh v_k pada sheet 4.8.</t>
  </si>
  <si>
    <t>PERSAMAAN (4.8) — CONTEXT PRECISION</t>
  </si>
  <si>
    <t>Precision_k &amp; v_k DITARIK dari sheet 4.7. Keluaran CP → sheet 4.9 (Pertanyaan ke-3).</t>
  </si>
  <si>
    <t>PERHITUNGAN — nilai ditarik dari sheet 4.7</t>
  </si>
  <si>
    <t>Precision(k)</t>
  </si>
  <si>
    <t>v_k</t>
  </si>
  <si>
    <t>Precision(k)·v_k</t>
  </si>
  <si>
    <t>Pembilang Σ(Precision·v_k)</t>
  </si>
  <si>
    <t>Penyebut Σ v_k (jumlah dokumen relevan)</t>
  </si>
  <si>
    <t>Context Precision = pembilang / penyebut</t>
  </si>
  <si>
    <t>1,6667 / 2 = 0,8333. Dipakai sheet 4.9 sebagai context precision Pertanyaan ke-3.</t>
  </si>
  <si>
    <t>PERSAMAAN (4.9) — RATA-RATA METRIK PER RUN</t>
  </si>
  <si>
    <t>Skor per pertanyaan (run ke-3). Q6 faith, Q3 AR &amp; CP DITARIK dari sheet 4.5/4.6/4.8.</t>
  </si>
  <si>
    <t>N (dari PARAMETER)</t>
  </si>
  <si>
    <t>Skor 10 pertanyaan uji (run ke-3). Sel biru = ditarik dari sheet metrik.</t>
  </si>
  <si>
    <t>Pertanyaan</t>
  </si>
  <si>
    <t>Faithfulness</t>
  </si>
  <si>
    <t>Answer Relevancy</t>
  </si>
  <si>
    <t>Context Precision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</si>
  <si>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</si>
  <si>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</si>
  <si>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</si>
  <si>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</si>
  <si>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</si>
  <si>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</si>
  <si>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</si>
  <si>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</si>
  <si>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</si>
  <si>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</si>
  <si>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Rata-rata (run 3)</t>
  </si>
  <si>
    <t>Hasil run 3: faithfulness 0,9818 · answer relevancy 0,9146 · context precision 0,8333. Ketiganya mengalir ke sheet 4.10.</t>
  </si>
  <si>
    <t>PERSAMAAN (4.10) — SKOR AKHIR (RATA-RATA ANTAR RUN)</t>
  </si>
  <si>
    <t>Run ke-3 DITARIK dari sheet 4.9; run 1 &amp; 2 input. Keluaran → sheet Persentase.</t>
  </si>
  <si>
    <t>R (dari PARAMETER)</t>
  </si>
  <si>
    <t>Skor tiap run. Run 3 ditarik dari sheet 4.9; run 1 &amp; 2 sebagai input.</t>
  </si>
  <si>
    <t>Metrik</t>
  </si>
  <si>
    <t>Run 1</t>
  </si>
  <si>
    <t>Run 2</t>
  </si>
  <si>
    <t>Run 3 (dari 4.9)</t>
  </si>
  <si>
    <t>Skor akhir</t>
  </si>
  <si>
    <t>Skor akhir Enhanced: faithfulness 0,9812 · answer relevancy 0,9146 · context precision 0,7991 (cocok Tabel 4.15).</t>
  </si>
  <si>
    <t>PERSENTASE PENINGKATAN (TURUNAN)</t>
  </si>
  <si>
    <t>Nilai Enhanced DITARIK dari sheet 4.10. Baseline sebagai input.</t>
  </si>
  <si>
    <t>Perbandingan (Tabel 4.15)</t>
  </si>
  <si>
    <t>Baseline</t>
  </si>
  <si>
    <t>Enhanced (dari 4.10)</t>
  </si>
  <si>
    <t>Selisih</t>
  </si>
  <si>
    <t>Δ (%)</t>
  </si>
  <si>
    <t>Hasil: Answer Relevancy +12,40% · Context Precision +14,16% · Faithfulness −1,13% (tetap Sangat Baik).</t>
  </si>
  <si>
    <t>KELOMPOK TERPISAH — PENGUJIAN FUNGSIONAL (TIDAK BERKORELASI DENGAN ALUR KUALITAS RAGAS)</t>
  </si>
  <si>
    <t>Persamaan (4.4) — Tingkat Keberhasilan Black Box Testing</t>
  </si>
  <si>
    <t>INPUT</t>
  </si>
  <si>
    <t>Σ skenario berhasil</t>
  </si>
  <si>
    <t>Σ total skenario (dari PARAMETER)</t>
  </si>
  <si>
    <t>Tingkat Keberhasilan = 17 / 17 × 100%</t>
  </si>
  <si>
    <t>Sheet ini sengaja dipisah karena menguji fungsi sistem, bukan kualitas jawaban, sehingga tidak masuk rantai data RAGAS.</t>
  </si>
  <si>
    <t>Simulasi perhitungan rumus RAG RRF — Iqbal Ali Ar-Ridho (2022150078)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</si>
</sst>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00"/>
    <numFmt numFmtId="166" formatCode="0.00000"/>
    <numFmt numFmtId="167" formatCode="0.0000"/>
    <numFmt numFmtId="168" formatCode="\+0.0000;\-0.0000"/>
    <numFmt numFmtId="169" formatCode="\+0.00%;\-0.00%"/>
    <numFmt numFmtId="170" formatCode="0.0%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Times New Roman"/>
      <charset val="1"/>
    </font>
    <font>
      <i/>
      <sz val="10"/>
      <color rgb="FFFFFFFF"/>
      <name val="Times New Roman"/>
      <charset val="1"/>
    </font>
    <font>
      <i/>
      <sz val="10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11"/>
      <color rgb="FF0000FF"/>
      <name val="Times New Roman"/>
      <charset val="1"/>
    </font>
    <font>
      <i/>
      <sz val="9"/>
      <color rgb="FF006100"/>
      <name val="Times New Roman"/>
      <charset val="1"/>
    </font>
    <font>
      <b/>
      <sz val="11"/>
      <color rgb="FF1F3864"/>
      <name val="Times New Roman"/>
      <charset val="1"/>
    </font>
    <font>
      <sz val="10"/>
      <color rgb="FF000000"/>
      <name val="Times New Roman"/>
      <charset val="1"/>
    </font>
    <font>
      <sz val="10"/>
      <color rgb="FF808080"/>
      <name val="Times New Roman"/>
      <charset val="1"/>
    </font>
    <font>
      <b/>
      <sz val="10"/>
      <color rgb="FF1F3864"/>
      <name val="Times New Roman"/>
      <charset val="1"/>
    </font>
    <font>
      <b/>
      <sz val="12"/>
      <color rgb="FF1F3864"/>
      <name val="Times New Roman"/>
      <charset val="1"/>
    </font>
    <font>
      <b/>
      <sz val="11"/>
      <color rgb="FF000000"/>
      <name val="Times New Roman"/>
      <charset val="1"/>
    </font>
    <font>
      <b/>
      <sz val="11"/>
      <color rgb="FF1F4E79"/>
      <name val="Times New Roman"/>
      <charset val="1"/>
    </font>
    <font>
      <b/>
      <sz val="10"/>
      <color rgb="FFFFFFFF"/>
      <name val="Times New Roman"/>
      <charset val="1"/>
    </font>
    <font>
      <b/>
      <sz val="12"/>
      <color rgb="FF000000"/>
      <name val="Times New Roman"/>
      <charset val="1"/>
    </font>
    <font>
      <b/>
      <sz val="10"/>
      <color rgb="FF1F4E79"/>
      <name val="Times New Roman"/>
      <charset val="1"/>
    </font>
    <font>
      <b/>
      <sz val="9"/>
      <color rgb="FFFFFFFF"/>
      <name val="Times New Roman"/>
      <charset val="1"/>
    </font>
    <font>
      <sz val="9"/>
      <color rgb="FF000000"/>
      <name val="Times New Roman"/>
      <charset val="1"/>
    </font>
    <font>
      <b/>
      <sz val="10"/>
      <color rgb="FF0000FF"/>
      <name val="Times New Roman"/>
      <charset val="1"/>
    </font>
    <font>
      <b/>
      <sz val="11"/>
      <color rgb="FFFFFFFF"/>
      <name val="Times New Roman"/>
      <charset val="1"/>
    </font>
    <font>
      <i/>
      <sz val="9"/>
      <color rgb="FFC00000"/>
      <name val="Times New Roman"/>
      <charset val="1"/>
    </font>
    <font>
      <sz val="9"/>
      <color rgb="FF595959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496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C00000"/>
        <bgColor rgb="FF800000"/>
      </patternFill>
    </fill>
  </fills>
  <borders count="5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" fontId="13" fillId="7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165" fontId="15" fillId="8" borderId="1" xfId="0" applyNumberFormat="1" applyFont="1" applyFill="1" applyBorder="1" applyAlignment="1">
      <alignment horizontal="center" vertical="center" wrapText="1"/>
    </xf>
    <xf numFmtId="164" fontId="16" fillId="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66" fontId="12" fillId="8" borderId="1" xfId="0" applyNumberFormat="1" applyFont="1" applyFill="1" applyBorder="1" applyAlignment="1">
      <alignment horizontal="center" vertical="center" wrapText="1"/>
    </xf>
    <xf numFmtId="164" fontId="13" fillId="7" borderId="4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9" fillId="5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167" fontId="15" fillId="8" borderId="1" xfId="0" applyNumberFormat="1" applyFont="1" applyFill="1" applyBorder="1" applyAlignment="1">
      <alignment horizontal="center" vertical="center" wrapText="1"/>
    </xf>
    <xf numFmtId="2" fontId="13" fillId="7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 vertical="center" wrapText="1"/>
    </xf>
    <xf numFmtId="2" fontId="19" fillId="5" borderId="4" xfId="0" applyNumberFormat="1" applyFont="1" applyFill="1" applyBorder="1" applyAlignment="1">
      <alignment horizontal="center" vertical="center" wrapText="1"/>
    </xf>
    <xf numFmtId="167" fontId="5" fillId="5" borderId="4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167" fontId="16" fillId="7" borderId="4" xfId="0" applyNumberFormat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19" fillId="5" borderId="4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 wrapText="1"/>
    </xf>
    <xf numFmtId="167" fontId="12" fillId="8" borderId="1" xfId="0" applyNumberFormat="1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 wrapText="1"/>
    </xf>
    <xf numFmtId="169" fontId="12" fillId="8" borderId="1" xfId="0" applyNumberFormat="1" applyFont="1" applyFill="1" applyBorder="1" applyAlignment="1">
      <alignment horizontal="center" vertical="center" wrapText="1"/>
    </xf>
    <xf numFmtId="170" fontId="15" fillId="8" borderId="1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0" fillId="10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1F4E7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2</xdr:row>
      <xdr:rowOff>106680</xdr:rowOff>
    </xdr:from>
    <xdr:ext cx="1674433" cy="4098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624A9C-5AD7-A7E1-F45E-1D9C6BCE0145}"/>
                </a:ext>
              </a:extLst>
            </xdr:cNvPr>
            <xdr:cNvSpPr txBox="1"/>
          </xdr:nvSpPr>
          <xdr:spPr>
            <a:xfrm>
              <a:off x="3055620" y="716280"/>
              <a:ext cx="1674433" cy="4098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𝑅𝐹𝑠𝑐𝑜𝑟𝑒</m:t>
                    </m:r>
                    <m:d>
                      <m:d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𝑑</m:t>
                        </m:r>
                      </m:e>
                    </m:d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  <m:r>
                          <a:rPr lang="id-ID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∈</m:t>
                        </m:r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𝑅</m:t>
                        </m:r>
                      </m:sub>
                      <m:sup/>
                      <m:e>
                        <m:f>
                          <m:f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𝑟</m:t>
                            </m:r>
                            <m:d>
                              <m:d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𝑑</m:t>
                                </m:r>
                              </m:e>
                            </m:d>
                          </m:den>
                        </m:f>
                      </m:e>
                    </m:nary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624A9C-5AD7-A7E1-F45E-1D9C6BCE0145}"/>
                </a:ext>
              </a:extLst>
            </xdr:cNvPr>
            <xdr:cNvSpPr txBox="1"/>
          </xdr:nvSpPr>
          <xdr:spPr>
            <a:xfrm>
              <a:off x="3055620" y="716280"/>
              <a:ext cx="1674433" cy="4098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𝑅𝐹𝑠𝑐𝑜𝑟𝑒(𝑑)=∑_(𝑟∈𝑅)▒1/(𝑘+𝑟(𝑑) 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106680</xdr:colOff>
      <xdr:row>2</xdr:row>
      <xdr:rowOff>121920</xdr:rowOff>
    </xdr:from>
    <xdr:ext cx="1762662" cy="462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2858B3-BB64-E586-962A-74C26A742B46}"/>
                </a:ext>
              </a:extLst>
            </xdr:cNvPr>
            <xdr:cNvSpPr txBox="1"/>
          </xdr:nvSpPr>
          <xdr:spPr>
            <a:xfrm>
              <a:off x="2987040" y="731520"/>
              <a:ext cx="1762662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i="1">
                        <a:latin typeface="Cambria Math" panose="02040503050406030204" pitchFamily="18" charset="0"/>
                      </a:rPr>
                      <m:t>𝑅𝑅</m:t>
                    </m:r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m:rPr>
                            <m:sty m:val="p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n</m:t>
                        </m:r>
                      </m:sup>
                      <m:e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id-ID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2858B3-BB64-E586-962A-74C26A742B46}"/>
                </a:ext>
              </a:extLst>
            </xdr:cNvPr>
            <xdr:cNvSpPr txBox="1"/>
          </xdr:nvSpPr>
          <xdr:spPr>
            <a:xfrm>
              <a:off x="2987040" y="731520"/>
              <a:ext cx="1762662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𝑅𝑅𝐹_𝑤 (𝑑)=∑24_(𝑖=1)^</a:t>
              </a:r>
              <a:r>
                <a:rPr lang="en-US" sz="1100" b="0" i="0">
                  <a:latin typeface="Cambria Math" panose="02040503050406030204" pitchFamily="18" charset="0"/>
                </a:rPr>
                <a:t>n</a:t>
              </a:r>
              <a:r>
                <a:rPr lang="id-ID" sz="1100" b="0" i="0">
                  <a:latin typeface="Cambria Math" panose="02040503050406030204" pitchFamily="18" charset="0"/>
                </a:rPr>
                <a:t>▒</a:t>
              </a:r>
              <a:r>
                <a:rPr lang="id-ID" sz="1100" i="0">
                  <a:latin typeface="Cambria Math" panose="02040503050406030204" pitchFamily="18" charset="0"/>
                </a:rPr>
                <a:t>𝑤_𝑖 ⋅1/(𝑘+𝑟_𝑖 (𝑑) 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525780</xdr:colOff>
      <xdr:row>10</xdr:row>
      <xdr:rowOff>83820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5ED26-B10D-8029-0A20-05349EBF88F8}"/>
            </a:ext>
          </a:extLst>
        </xdr:cNvPr>
        <xdr:cNvSpPr txBox="1"/>
      </xdr:nvSpPr>
      <xdr:spPr>
        <a:xfrm>
          <a:off x="662940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720514</xdr:colOff>
      <xdr:row>2</xdr:row>
      <xdr:rowOff>230294</xdr:rowOff>
    </xdr:from>
    <xdr:ext cx="5053435" cy="4596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7EFC91-B66C-9833-DA89-BD7442DB3C70}"/>
                </a:ext>
              </a:extLst>
            </xdr:cNvPr>
            <xdr:cNvSpPr txBox="1"/>
          </xdr:nvSpPr>
          <xdr:spPr>
            <a:xfrm>
              <a:off x="2016700" y="843036"/>
              <a:ext cx="5053435" cy="4596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i="1">
                        <a:latin typeface="Cambria Math" panose="02040503050406030204" pitchFamily="18" charset="0"/>
                      </a:rPr>
                      <m:t>𝑠𝑐𝑜𝑟</m:t>
                    </m:r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𝑅𝑅𝐹</m:t>
                        </m:r>
                      </m:sub>
                    </m:sSub>
                    <m:d>
                      <m:d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𝑑</m:t>
                        </m:r>
                      </m:e>
                    </m:d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⋅</m:t>
                    </m:r>
                    <m:f>
                      <m:f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b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d>
                          <m:d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𝑑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</m:t>
                    </m:r>
                    <m:r>
                      <a:rPr lang="id-ID" sz="1100" i="1">
                        <a:latin typeface="Cambria Math" panose="02040503050406030204" pitchFamily="18" charset="0"/>
                      </a:rPr>
                      <m:t>𝑠𝑐𝑜𝑟</m:t>
                    </m:r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⋅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+1</m:t>
                        </m:r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7EFC91-B66C-9833-DA89-BD7442DB3C70}"/>
                </a:ext>
              </a:extLst>
            </xdr:cNvPr>
            <xdr:cNvSpPr txBox="1"/>
          </xdr:nvSpPr>
          <xdr:spPr>
            <a:xfrm>
              <a:off x="2016700" y="843036"/>
              <a:ext cx="5053435" cy="4596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𝑠𝑐𝑜𝑟𝑒_𝑅𝑅𝐹</a:t>
              </a:r>
              <a:r>
                <a:rPr lang="id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(𝑑)=∑_(𝑖=1)^𝑛▒𝑤_𝑖 ⋅1/(𝑘+𝑟_𝑖 (𝑑)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+1</a:t>
              </a:r>
              <a:r>
                <a:rPr lang="id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               </a:t>
              </a:r>
              <a:r>
                <a:rPr lang="id-ID" sz="1100" i="0">
                  <a:latin typeface="Cambria Math" panose="02040503050406030204" pitchFamily="18" charset="0"/>
                </a:rPr>
                <a:t>𝑠𝑐𝑜𝑟𝑒_𝑚𝑎𝑥=(𝑤_0+𝑤_1+𝑤_2 )⋅1/(𝑘+1)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</xdr:colOff>
      <xdr:row>2</xdr:row>
      <xdr:rowOff>83820</xdr:rowOff>
    </xdr:from>
    <xdr:ext cx="2817438" cy="4689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C0D8C2C-C6D6-CED8-EB11-BC744727DCFA}"/>
                </a:ext>
              </a:extLst>
            </xdr:cNvPr>
            <xdr:cNvSpPr txBox="1"/>
          </xdr:nvSpPr>
          <xdr:spPr>
            <a:xfrm>
              <a:off x="2750820" y="693420"/>
              <a:ext cx="2817438" cy="4689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d-ID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score</m:t>
                        </m:r>
                      </m:e>
                      <m:sub>
                        <m:r>
                          <m:rPr>
                            <m:nor/>
                          </m:rPr>
                          <a:rPr lang="id-ID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RRF</m:t>
                        </m:r>
                        <m:r>
                          <m:rPr>
                            <m:nor/>
                          </m:r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id-ID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norm</m:t>
                        </m:r>
                      </m:sub>
                    </m:sSub>
                    <m:d>
                      <m:d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𝑑</m:t>
                        </m:r>
                      </m:e>
                    </m:d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id-ID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min</m:t>
                        </m:r>
                      </m:fName>
                      <m:e>
                        <m:d>
                          <m:d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nor/>
                                      </m:rPr>
                                      <a:rPr lang="id-ID" sz="11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score</m:t>
                                    </m:r>
                                  </m:e>
                                  <m:sub>
                                    <m:r>
                                      <m:rPr>
                                        <m:nor/>
                                      </m:rPr>
                                      <a:rPr lang="id-ID" sz="11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RRF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</m:e>
                                </m:d>
                              </m:num>
                              <m:den>
                                <m:nary>
                                  <m:naryPr>
                                    <m:chr m:val="∑"/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=1</m:t>
                                    </m:r>
                                  </m:sub>
                                  <m:sup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p>
                                  <m:e>
                                    <m:sSub>
                                      <m:sSubPr>
                                        <m:ctrlPr>
                                          <a:rPr lang="id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id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𝑤</m:t>
                                        </m:r>
                                      </m:e>
                                      <m:sub>
                                        <m:r>
                                          <a:rPr lang="id-ID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  <m:r>
                                  <a:rPr lang="id-ID" sz="1100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f>
                                  <m:fPr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𝑘</m:t>
                                    </m:r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+1</m:t>
                                    </m:r>
                                  </m:den>
                                </m:f>
                              </m:den>
                            </m:f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, 1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C0D8C2C-C6D6-CED8-EB11-BC744727DCFA}"/>
                </a:ext>
              </a:extLst>
            </xdr:cNvPr>
            <xdr:cNvSpPr txBox="1"/>
          </xdr:nvSpPr>
          <xdr:spPr>
            <a:xfrm>
              <a:off x="2750820" y="693420"/>
              <a:ext cx="2817438" cy="4689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〖"score" 〗_"RRF−norm"  (𝑑)=min⁡((〖"score" 〗_"RRF"  (𝑑))/(∑_(𝑖=1)^𝑛▒𝑤_𝑖 ⋅1/(𝑘+1)), 1)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762000</xdr:colOff>
      <xdr:row>2</xdr:row>
      <xdr:rowOff>137160</xdr:rowOff>
    </xdr:from>
    <xdr:ext cx="943142" cy="320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3F4A3D-C0DD-A401-D62A-A5C420B2B4C7}"/>
                </a:ext>
              </a:extLst>
            </xdr:cNvPr>
            <xdr:cNvSpPr txBox="1"/>
          </xdr:nvSpPr>
          <xdr:spPr>
            <a:xfrm>
              <a:off x="3093720" y="746760"/>
              <a:ext cx="943142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i="1">
                        <a:latin typeface="Cambria Math" panose="02040503050406030204" pitchFamily="18" charset="0"/>
                      </a:rPr>
                      <m:t>𝜎</m:t>
                    </m:r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3F4A3D-C0DD-A401-D62A-A5C420B2B4C7}"/>
                </a:ext>
              </a:extLst>
            </xdr:cNvPr>
            <xdr:cNvSpPr txBox="1"/>
          </xdr:nvSpPr>
          <xdr:spPr>
            <a:xfrm>
              <a:off x="3093720" y="746760"/>
              <a:ext cx="943142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𝜎(𝑠)=1/(1+𝑒^(−𝑠) 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2</xdr:row>
      <xdr:rowOff>228600</xdr:rowOff>
    </xdr:from>
    <xdr:ext cx="1616468" cy="3971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07DCE2-C89F-952C-6E1C-BA326700D538}"/>
                </a:ext>
              </a:extLst>
            </xdr:cNvPr>
            <xdr:cNvSpPr txBox="1"/>
          </xdr:nvSpPr>
          <xdr:spPr>
            <a:xfrm>
              <a:off x="3200400" y="838200"/>
              <a:ext cx="1616468" cy="3971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Faithfulness</m:t>
                    </m:r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id-ID" sz="1100" i="0">
                                <a:latin typeface="Cambria Math" panose="02040503050406030204" pitchFamily="18" charset="0"/>
                              </a:rPr>
                              <m:t>didukung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id-ID" sz="1100" i="0">
                                <a:latin typeface="Cambria Math" panose="02040503050406030204" pitchFamily="18" charset="0"/>
                              </a:rPr>
                              <m:t>total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207DCE2-C89F-952C-6E1C-BA326700D538}"/>
                </a:ext>
              </a:extLst>
            </xdr:cNvPr>
            <xdr:cNvSpPr txBox="1"/>
          </xdr:nvSpPr>
          <xdr:spPr>
            <a:xfrm>
              <a:off x="3200400" y="838200"/>
              <a:ext cx="1616468" cy="3971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"Faithfulness"=𝐶_"didukung" /𝐶_"total"  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129540</xdr:colOff>
      <xdr:row>2</xdr:row>
      <xdr:rowOff>91440</xdr:rowOff>
    </xdr:from>
    <xdr:ext cx="2304990" cy="4792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6CD314-CB6E-2E64-D0C1-B75E6D4BD49A}"/>
                </a:ext>
              </a:extLst>
            </xdr:cNvPr>
            <xdr:cNvSpPr txBox="1"/>
          </xdr:nvSpPr>
          <xdr:spPr>
            <a:xfrm>
              <a:off x="2735580" y="701040"/>
              <a:ext cx="2304990" cy="479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id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Answer</m:t>
                    </m:r>
                    <m:r>
                      <m:rPr>
                        <m:nor/>
                      </m:rPr>
                      <a:rPr lang="id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id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Relevancy</m:t>
                    </m:r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</m:t>
                        </m:r>
                      </m:den>
                    </m:f>
                    <m:nary>
                      <m:naryPr>
                        <m:chr m:val="∑"/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</m:t>
                        </m:r>
                      </m:sup>
                      <m:e>
                        <m:f>
                          <m:f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sub>
                            </m:sSub>
                            <m:r>
                              <a:rPr lang="id-ID" sz="110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𝑜</m:t>
                                </m:r>
                              </m:sub>
                            </m:sSub>
                          </m:num>
                          <m:den>
                            <m:r>
                              <m:rPr>
                                <m:lit/>
                              </m:r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|</m:t>
                                </m:r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id-ID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sub>
                            </m:sSub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r>
                              <m:rPr>
                                <m:lit/>
                              </m:r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 </m:t>
                            </m:r>
                            <m:r>
                              <m:rPr>
                                <m:lit/>
                              </m:r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id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𝑜</m:t>
                                </m:r>
                              </m:sub>
                            </m:sSub>
                            <m:r>
                              <m:rPr>
                                <m:lit/>
                              </m:r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|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6CD314-CB6E-2E64-D0C1-B75E6D4BD49A}"/>
                </a:ext>
              </a:extLst>
            </xdr:cNvPr>
            <xdr:cNvSpPr txBox="1"/>
          </xdr:nvSpPr>
          <xdr:spPr>
            <a:xfrm>
              <a:off x="2735580" y="701040"/>
              <a:ext cx="2304990" cy="479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"Answer Relevancy</a:t>
              </a:r>
              <a:r>
                <a:rPr lang="id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"=1/𝑁 ∑_(𝑖=1)^𝑁▒(𝐸_(𝑔_𝑖 )⋅𝐸_𝑜)/(\|〖|𝐸〗_(𝑔_𝑖 ) |\| \||𝐸_𝑜 \||)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899160</xdr:colOff>
      <xdr:row>2</xdr:row>
      <xdr:rowOff>213360</xdr:rowOff>
    </xdr:from>
    <xdr:ext cx="1894813" cy="3524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93E7FC-B7EB-442C-585D-78D80D00622E}"/>
                </a:ext>
              </a:extLst>
            </xdr:cNvPr>
            <xdr:cNvSpPr txBox="1"/>
          </xdr:nvSpPr>
          <xdr:spPr>
            <a:xfrm>
              <a:off x="2133600" y="822960"/>
              <a:ext cx="1894813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Precision</m:t>
                    </m:r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𝑇𝑃</m:t>
                        </m:r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𝑇𝑃</m:t>
                        </m:r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𝐹𝑃</m:t>
                        </m:r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93E7FC-B7EB-442C-585D-78D80D00622E}"/>
                </a:ext>
              </a:extLst>
            </xdr:cNvPr>
            <xdr:cNvSpPr txBox="1"/>
          </xdr:nvSpPr>
          <xdr:spPr>
            <a:xfrm>
              <a:off x="2133600" y="822960"/>
              <a:ext cx="1894813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"Precision" (𝑘)=𝑇𝑃(𝑘)/(𝑇𝑃(𝑘)+𝐹𝑃(𝑘) )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137160</xdr:colOff>
      <xdr:row>2</xdr:row>
      <xdr:rowOff>137160</xdr:rowOff>
    </xdr:from>
    <xdr:ext cx="2882007" cy="3876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7D91E0-B334-ADAE-98A4-ED5A76DA6C68}"/>
                </a:ext>
              </a:extLst>
            </xdr:cNvPr>
            <xdr:cNvSpPr txBox="1"/>
          </xdr:nvSpPr>
          <xdr:spPr>
            <a:xfrm>
              <a:off x="1371600" y="746760"/>
              <a:ext cx="2882007" cy="3876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Context</m:t>
                    </m:r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Precision</m:t>
                    </m:r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sup>
                          <m:e>
                            <m:r>
                              <m:rPr>
                                <m:nor/>
                              </m:rPr>
                              <a:rPr lang="id-ID" sz="1100" i="0">
                                <a:latin typeface="Cambria Math" panose="02040503050406030204" pitchFamily="18" charset="0"/>
                              </a:rPr>
                              <m:t>Precision</m:t>
                            </m:r>
                            <m:d>
                              <m:dPr>
                                <m:ctrlPr>
                                  <a:rPr lang="id-ID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id-ID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</m:e>
                        </m:nary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num>
                      <m:den>
                        <m:nary>
                          <m:naryPr>
                            <m:chr m:val="∑"/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sup>
                          <m:e>
                            <m:sSub>
                              <m:sSubPr>
                                <m:ctrlPr>
                                  <a:rPr lang="id-ID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d-ID" sz="110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id-ID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sub>
                            </m:sSub>
                          </m:e>
                        </m:nary>
                      </m:den>
                    </m:f>
                    <m:r>
                      <a:rPr lang="id-ID" sz="110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7D91E0-B334-ADAE-98A4-ED5A76DA6C68}"/>
                </a:ext>
              </a:extLst>
            </xdr:cNvPr>
            <xdr:cNvSpPr txBox="1"/>
          </xdr:nvSpPr>
          <xdr:spPr>
            <a:xfrm>
              <a:off x="1371600" y="746760"/>
              <a:ext cx="2882007" cy="3876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"Context Precision" (𝐾)=(∑24_(𝑘=1)^𝐾▒"Precision" (𝑘) ⋅𝑣_𝑘)/(∑24_(𝑘=1)^𝐾▒𝑣_𝑘 )}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434340</xdr:colOff>
      <xdr:row>2</xdr:row>
      <xdr:rowOff>129540</xdr:rowOff>
    </xdr:from>
    <xdr:ext cx="1279068" cy="4759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7056F0-B9C8-7DBD-4979-410B76BE9B5C}"/>
                </a:ext>
              </a:extLst>
            </xdr:cNvPr>
            <xdr:cNvSpPr txBox="1"/>
          </xdr:nvSpPr>
          <xdr:spPr>
            <a:xfrm>
              <a:off x="1805940" y="739140"/>
              <a:ext cx="1279068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</m:acc>
                    <m:d>
                      <m:d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d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nary>
                      <m:naryPr>
                        <m:chr m:val="∑"/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𝑠</m:t>
                        </m:r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</m:d>
                      </m:e>
                    </m:nary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7056F0-B9C8-7DBD-4979-410B76BE9B5C}"/>
                </a:ext>
              </a:extLst>
            </xdr:cNvPr>
            <xdr:cNvSpPr txBox="1"/>
          </xdr:nvSpPr>
          <xdr:spPr>
            <a:xfrm>
              <a:off x="1805940" y="739140"/>
              <a:ext cx="1279068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𝑆 ̅(𝑚)=1/𝑁 ∑24_(𝑖=1)^𝑁▒𝑠(𝑚,𝑖) 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2</xdr:row>
      <xdr:rowOff>38100</xdr:rowOff>
    </xdr:from>
    <xdr:ext cx="1625894" cy="4750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1DEDA9-F4CD-6ACB-B29E-778AE771FA5C}"/>
                </a:ext>
              </a:extLst>
            </xdr:cNvPr>
            <xdr:cNvSpPr txBox="1"/>
          </xdr:nvSpPr>
          <xdr:spPr>
            <a:xfrm>
              <a:off x="2240280" y="647700"/>
              <a:ext cx="1625894" cy="4750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</m:acc>
                    <m:sSub>
                      <m:sSub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</m:d>
                      </m:e>
                      <m:sub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akhir</m:t>
                        </m:r>
                      </m:sub>
                    </m:sSub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  <m:nary>
                      <m:naryPr>
                        <m:chr m:val="∑"/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𝑅</m:t>
                        </m:r>
                      </m:sup>
                      <m:e>
                        <m:acc>
                          <m:accPr>
                            <m:chr m:val="̅"/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</m:acc>
                        <m:d>
                          <m:dPr>
                            <m:ctrlPr>
                              <a:rPr lang="id-ID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id-ID" sz="11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</m:nary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1DEDA9-F4CD-6ACB-B29E-778AE771FA5C}"/>
                </a:ext>
              </a:extLst>
            </xdr:cNvPr>
            <xdr:cNvSpPr txBox="1"/>
          </xdr:nvSpPr>
          <xdr:spPr>
            <a:xfrm>
              <a:off x="2240280" y="647700"/>
              <a:ext cx="1625894" cy="4750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𝑆 ̅(𝑚)_"akhir" =1/𝑅 ∑24_(𝑟=1)^𝑅▒〖𝑆 ̅(𝑚,𝑟) 〗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403860</xdr:colOff>
      <xdr:row>2</xdr:row>
      <xdr:rowOff>152400</xdr:rowOff>
    </xdr:from>
    <xdr:ext cx="2095124" cy="32143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120EF7-3BB5-2B9A-7B0B-5AD0EF4F465B}"/>
                </a:ext>
              </a:extLst>
            </xdr:cNvPr>
            <xdr:cNvSpPr txBox="1"/>
          </xdr:nvSpPr>
          <xdr:spPr>
            <a:xfrm>
              <a:off x="2186940" y="762000"/>
              <a:ext cx="2095124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id-ID" sz="1100" i="0">
                        <a:latin typeface="Cambria Math" panose="02040503050406030204" pitchFamily="18" charset="0"/>
                      </a:rPr>
                      <m:t>Δ</m:t>
                    </m:r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Enhanced</m:t>
                        </m:r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Baseline</m:t>
                        </m:r>
                      </m:num>
                      <m:den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Baseline</m:t>
                        </m:r>
                      </m:den>
                    </m:f>
                    <m:r>
                      <a:rPr lang="id-ID" sz="110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120EF7-3BB5-2B9A-7B0B-5AD0EF4F465B}"/>
                </a:ext>
              </a:extLst>
            </xdr:cNvPr>
            <xdr:cNvSpPr txBox="1"/>
          </xdr:nvSpPr>
          <xdr:spPr>
            <a:xfrm>
              <a:off x="2186940" y="762000"/>
              <a:ext cx="2095124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Δ=("Enhanced" −"Baseline" )/"Baseline" 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1493520</xdr:colOff>
      <xdr:row>3</xdr:row>
      <xdr:rowOff>91440</xdr:rowOff>
    </xdr:from>
    <xdr:ext cx="2615138" cy="3499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020537-4A4E-10A4-54E1-5ECB0C17BC15}"/>
                </a:ext>
              </a:extLst>
            </xdr:cNvPr>
            <xdr:cNvSpPr txBox="1"/>
          </xdr:nvSpPr>
          <xdr:spPr>
            <a:xfrm>
              <a:off x="1767840" y="784860"/>
              <a:ext cx="261513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Tingkat</m:t>
                    </m:r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id-ID" sz="1100" i="0">
                        <a:latin typeface="Cambria Math" panose="02040503050406030204" pitchFamily="18" charset="0"/>
                      </a:rPr>
                      <m:t>Keberhasilan</m:t>
                    </m:r>
                    <m:r>
                      <a:rPr lang="id-ID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∑</m:t>
                        </m:r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berhasil</m:t>
                        </m:r>
                      </m:num>
                      <m:den>
                        <m:r>
                          <a:rPr lang="id-ID" sz="1100" i="1">
                            <a:latin typeface="Cambria Math" panose="02040503050406030204" pitchFamily="18" charset="0"/>
                          </a:rPr>
                          <m:t>∑</m:t>
                        </m:r>
                        <m:r>
                          <m:rPr>
                            <m:nor/>
                          </m:rPr>
                          <a:rPr lang="id-ID" sz="1100" i="0">
                            <a:latin typeface="Cambria Math" panose="02040503050406030204" pitchFamily="18" charset="0"/>
                          </a:rPr>
                          <m:t>total</m:t>
                        </m:r>
                      </m:den>
                    </m:f>
                    <m:r>
                      <a:rPr lang="id-ID" sz="110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020537-4A4E-10A4-54E1-5ECB0C17BC15}"/>
                </a:ext>
              </a:extLst>
            </xdr:cNvPr>
            <xdr:cNvSpPr txBox="1"/>
          </xdr:nvSpPr>
          <xdr:spPr>
            <a:xfrm>
              <a:off x="1767840" y="784860"/>
              <a:ext cx="261513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"Tingkat Keberhasilan"=(∑"berhasil" )/(∑"total" )×100%</a:t>
              </a:r>
              <a:endParaRPr lang="id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CCC98B-E3A7-48B8-8325-37E64DECA20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ce81e159-1f00-4f07-afaf-40b2b02f718a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="121" zoomScaleNormal="100" workbookViewId="0">
      <selection activeCell="C7" sqref="C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4" customWidth="1"/>
    <col min="4" max="4" width="40" customWidth="1"/>
  </cols>
  <sheetData>
    <row r="1" spans="1:4" ht="30" customHeight="1" x14ac:dyDescent="0.3">
      <c r="A1" s="14" t="s">
        <v>0</v>
      </c>
      <c r="B1" s="14"/>
      <c r="C1" s="14"/>
      <c r="D1" s="14"/>
    </row>
    <row r="2" spans="1:4" ht="18" customHeight="1" x14ac:dyDescent="0.3">
      <c r="A2" s="13" t="s">
        <v>1</v>
      </c>
      <c r="B2" s="13"/>
      <c r="C2" s="13"/>
      <c r="D2" s="13"/>
    </row>
    <row r="4" spans="1:4" ht="15" customHeight="1" x14ac:dyDescent="0.3">
      <c r="A4" s="12" t="s">
        <v>2</v>
      </c>
      <c r="B4" s="12"/>
      <c r="C4" s="12"/>
      <c r="D4" s="12"/>
    </row>
    <row r="6" spans="1:4" x14ac:dyDescent="0.3">
      <c r="B6" s="15" t="s">
        <v>3</v>
      </c>
      <c r="C6" s="16">
        <v>60</v>
      </c>
      <c r="D6" s="17" t="s">
        <v>4</v>
      </c>
    </row>
    <row r="7" spans="1:4" x14ac:dyDescent="0.3">
      <c r="B7" s="18" t="s">
        <v>5</v>
      </c>
      <c r="C7" s="19">
        <v>4</v>
      </c>
      <c r="D7" s="20" t="s">
        <v>6</v>
      </c>
    </row>
    <row r="8" spans="1:4" x14ac:dyDescent="0.3">
      <c r="B8" s="15" t="s">
        <v>7</v>
      </c>
      <c r="C8" s="19">
        <v>1</v>
      </c>
      <c r="D8" s="17" t="s">
        <v>6</v>
      </c>
    </row>
    <row r="9" spans="1:4" x14ac:dyDescent="0.3">
      <c r="B9" s="18" t="s">
        <v>8</v>
      </c>
      <c r="C9" s="19">
        <v>1</v>
      </c>
      <c r="D9" s="20" t="s">
        <v>6</v>
      </c>
    </row>
    <row r="10" spans="1:4" x14ac:dyDescent="0.3">
      <c r="B10" s="15" t="s">
        <v>9</v>
      </c>
      <c r="C10" s="16">
        <v>3</v>
      </c>
      <c r="D10" s="17" t="s">
        <v>10</v>
      </c>
    </row>
    <row r="11" spans="1:4" x14ac:dyDescent="0.3">
      <c r="B11" s="18" t="s">
        <v>11</v>
      </c>
      <c r="C11" s="16">
        <v>5</v>
      </c>
      <c r="D11" s="20" t="s">
        <v>12</v>
      </c>
    </row>
    <row r="12" spans="1:4" x14ac:dyDescent="0.3">
      <c r="B12" s="15" t="s">
        <v>13</v>
      </c>
      <c r="C12" s="21">
        <v>0.4</v>
      </c>
      <c r="D12" s="17" t="s">
        <v>14</v>
      </c>
    </row>
    <row r="13" spans="1:4" x14ac:dyDescent="0.3">
      <c r="B13" s="18" t="s">
        <v>15</v>
      </c>
      <c r="C13" s="16">
        <v>10</v>
      </c>
      <c r="D13" s="20" t="s">
        <v>16</v>
      </c>
    </row>
    <row r="14" spans="1:4" x14ac:dyDescent="0.3">
      <c r="B14" s="15" t="s">
        <v>17</v>
      </c>
      <c r="C14" s="16">
        <v>3</v>
      </c>
      <c r="D14" s="17" t="s">
        <v>18</v>
      </c>
    </row>
    <row r="15" spans="1:4" x14ac:dyDescent="0.3">
      <c r="B15" s="18" t="s">
        <v>19</v>
      </c>
      <c r="C15" s="16">
        <v>3</v>
      </c>
      <c r="D15" s="20" t="s">
        <v>20</v>
      </c>
    </row>
    <row r="16" spans="1:4" x14ac:dyDescent="0.3">
      <c r="B16" s="15" t="s">
        <v>21</v>
      </c>
      <c r="C16" s="16">
        <v>17</v>
      </c>
      <c r="D16" s="17" t="s">
        <v>22</v>
      </c>
    </row>
  </sheetData>
  <mergeCells count="3">
    <mergeCell ref="A1:D1"/>
    <mergeCell ref="A2:D2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zoomScale="119" zoomScaleNormal="100" workbookViewId="0">
      <selection activeCell="A2" sqref="A2:E2"/>
    </sheetView>
  </sheetViews>
  <sheetFormatPr defaultColWidth="8.6640625" defaultRowHeight="14.4" x14ac:dyDescent="0.3"/>
  <cols>
    <col min="1" max="1" width="4" customWidth="1"/>
    <col min="2" max="2" width="30" customWidth="1"/>
    <col min="3" max="3" width="46" customWidth="1"/>
    <col min="4" max="4" width="30" customWidth="1"/>
    <col min="5" max="5" width="10" customWidth="1"/>
  </cols>
  <sheetData>
    <row r="1" spans="1:5" ht="30" customHeight="1" x14ac:dyDescent="0.3">
      <c r="A1" s="14" t="s">
        <v>23</v>
      </c>
      <c r="B1" s="14"/>
      <c r="C1" s="14"/>
      <c r="D1" s="14"/>
      <c r="E1" s="14"/>
    </row>
    <row r="2" spans="1:5" ht="18" customHeight="1" x14ac:dyDescent="0.3">
      <c r="A2" s="13" t="s">
        <v>205</v>
      </c>
      <c r="B2" s="13"/>
      <c r="C2" s="13"/>
      <c r="D2" s="13"/>
      <c r="E2" s="13"/>
    </row>
    <row r="4" spans="1:5" ht="42" customHeight="1" x14ac:dyDescent="0.3">
      <c r="A4" s="11" t="s">
        <v>24</v>
      </c>
      <c r="B4" s="11"/>
      <c r="C4" s="11"/>
      <c r="D4" s="11"/>
      <c r="E4" s="11"/>
    </row>
    <row r="6" spans="1:5" ht="15" customHeight="1" x14ac:dyDescent="0.3">
      <c r="A6" s="10" t="s">
        <v>25</v>
      </c>
      <c r="B6" s="10"/>
      <c r="C6" s="10"/>
      <c r="D6" s="10"/>
      <c r="E6" s="10"/>
    </row>
    <row r="7" spans="1:5" ht="15" customHeight="1" x14ac:dyDescent="0.3">
      <c r="B7" s="9" t="s">
        <v>26</v>
      </c>
      <c r="C7" s="9"/>
      <c r="D7" s="9"/>
    </row>
    <row r="8" spans="1:5" ht="15" customHeight="1" x14ac:dyDescent="0.3">
      <c r="B8" s="8" t="s">
        <v>27</v>
      </c>
      <c r="C8" s="8"/>
      <c r="D8" s="8"/>
    </row>
    <row r="9" spans="1:5" ht="15" customHeight="1" x14ac:dyDescent="0.3">
      <c r="B9" s="7" t="s">
        <v>28</v>
      </c>
      <c r="C9" s="7"/>
      <c r="D9" s="7"/>
    </row>
    <row r="10" spans="1:5" ht="15" customHeight="1" x14ac:dyDescent="0.3">
      <c r="B10" s="6" t="s">
        <v>29</v>
      </c>
      <c r="C10" s="6"/>
      <c r="D10" s="6"/>
    </row>
    <row r="12" spans="1:5" ht="15" customHeight="1" x14ac:dyDescent="0.3">
      <c r="A12" s="10" t="s">
        <v>30</v>
      </c>
      <c r="B12" s="10"/>
      <c r="C12" s="10"/>
      <c r="D12" s="10"/>
      <c r="E12" s="10"/>
    </row>
    <row r="13" spans="1:5" ht="15" customHeight="1" x14ac:dyDescent="0.3">
      <c r="B13" s="5" t="s">
        <v>31</v>
      </c>
      <c r="C13" s="5"/>
      <c r="D13" s="5"/>
      <c r="E13" s="5"/>
    </row>
    <row r="14" spans="1:5" ht="15" customHeight="1" x14ac:dyDescent="0.3">
      <c r="B14" s="4" t="s">
        <v>32</v>
      </c>
      <c r="C14" s="4"/>
      <c r="D14" s="4"/>
      <c r="E14" s="4"/>
    </row>
    <row r="15" spans="1:5" ht="15" customHeight="1" x14ac:dyDescent="0.3">
      <c r="B15" s="3" t="s">
        <v>33</v>
      </c>
      <c r="C15" s="3"/>
      <c r="D15" s="3"/>
      <c r="E15" s="3"/>
    </row>
    <row r="16" spans="1:5" ht="15" customHeight="1" x14ac:dyDescent="0.3">
      <c r="B16" s="2" t="s">
        <v>34</v>
      </c>
      <c r="C16" s="2"/>
      <c r="D16" s="2"/>
      <c r="E16" s="2"/>
    </row>
    <row r="17" spans="2:5" ht="15" customHeight="1" x14ac:dyDescent="0.3">
      <c r="B17" s="2" t="s">
        <v>35</v>
      </c>
      <c r="C17" s="2"/>
      <c r="D17" s="2"/>
      <c r="E17" s="2"/>
    </row>
    <row r="18" spans="2:5" ht="15" customHeight="1" x14ac:dyDescent="0.3">
      <c r="B18" s="2" t="s">
        <v>36</v>
      </c>
      <c r="C18" s="2"/>
      <c r="D18" s="2"/>
      <c r="E18" s="2"/>
    </row>
    <row r="19" spans="2:5" ht="15" customHeight="1" x14ac:dyDescent="0.3">
      <c r="B19" s="4" t="s">
        <v>32</v>
      </c>
      <c r="C19" s="4"/>
      <c r="D19" s="4"/>
      <c r="E19" s="4"/>
    </row>
    <row r="20" spans="2:5" ht="15" customHeight="1" x14ac:dyDescent="0.3">
      <c r="B20" s="3" t="s">
        <v>37</v>
      </c>
      <c r="C20" s="3"/>
      <c r="D20" s="3"/>
      <c r="E20" s="3"/>
    </row>
    <row r="21" spans="2:5" ht="15" customHeight="1" x14ac:dyDescent="0.3">
      <c r="B21" s="2" t="s">
        <v>38</v>
      </c>
      <c r="C21" s="2"/>
      <c r="D21" s="2"/>
      <c r="E21" s="2"/>
    </row>
    <row r="22" spans="2:5" ht="15" customHeight="1" x14ac:dyDescent="0.3">
      <c r="B22" s="4" t="s">
        <v>32</v>
      </c>
      <c r="C22" s="4"/>
      <c r="D22" s="4"/>
      <c r="E22" s="4"/>
    </row>
    <row r="23" spans="2:5" ht="15" customHeight="1" x14ac:dyDescent="0.3">
      <c r="B23" s="3" t="s">
        <v>39</v>
      </c>
      <c r="C23" s="3"/>
      <c r="D23" s="3"/>
      <c r="E23" s="3"/>
    </row>
    <row r="24" spans="2:5" ht="15" customHeight="1" x14ac:dyDescent="0.3">
      <c r="B24" s="2" t="s">
        <v>40</v>
      </c>
      <c r="C24" s="2"/>
      <c r="D24" s="2"/>
      <c r="E24" s="2"/>
    </row>
    <row r="25" spans="2:5" ht="15" customHeight="1" x14ac:dyDescent="0.3">
      <c r="B25" s="4" t="s">
        <v>32</v>
      </c>
      <c r="C25" s="4"/>
      <c r="D25" s="4"/>
      <c r="E25" s="4"/>
    </row>
    <row r="26" spans="2:5" ht="15" customHeight="1" x14ac:dyDescent="0.3">
      <c r="B26" s="3" t="s">
        <v>41</v>
      </c>
      <c r="C26" s="3"/>
      <c r="D26" s="3"/>
      <c r="E26" s="3"/>
    </row>
    <row r="27" spans="2:5" ht="15" customHeight="1" x14ac:dyDescent="0.3">
      <c r="B27" s="2" t="s">
        <v>42</v>
      </c>
      <c r="C27" s="2"/>
      <c r="D27" s="2"/>
      <c r="E27" s="2"/>
    </row>
    <row r="28" spans="2:5" ht="15" customHeight="1" x14ac:dyDescent="0.3">
      <c r="B28" s="2" t="s">
        <v>43</v>
      </c>
      <c r="C28" s="2"/>
      <c r="D28" s="2"/>
      <c r="E28" s="2"/>
    </row>
    <row r="29" spans="2:5" ht="15" customHeight="1" x14ac:dyDescent="0.3">
      <c r="B29" s="4" t="s">
        <v>32</v>
      </c>
      <c r="C29" s="4"/>
      <c r="D29" s="4"/>
      <c r="E29" s="4"/>
    </row>
    <row r="30" spans="2:5" ht="15" customHeight="1" x14ac:dyDescent="0.3">
      <c r="B30" s="3" t="s">
        <v>44</v>
      </c>
      <c r="C30" s="3"/>
      <c r="D30" s="3"/>
      <c r="E30" s="3"/>
    </row>
    <row r="31" spans="2:5" ht="15" customHeight="1" x14ac:dyDescent="0.3">
      <c r="B31" s="2" t="s">
        <v>45</v>
      </c>
      <c r="C31" s="2"/>
      <c r="D31" s="2"/>
      <c r="E31" s="2"/>
    </row>
    <row r="33" spans="2:5" ht="15" customHeight="1" x14ac:dyDescent="0.3">
      <c r="B33" s="1" t="s">
        <v>46</v>
      </c>
      <c r="C33" s="1"/>
      <c r="D33" s="1"/>
      <c r="E33" s="1"/>
    </row>
    <row r="34" spans="2:5" x14ac:dyDescent="0.3">
      <c r="B34" s="1"/>
      <c r="C34" s="1"/>
      <c r="D34" s="1"/>
      <c r="E34" s="1"/>
    </row>
  </sheetData>
  <mergeCells count="29">
    <mergeCell ref="B29:E29"/>
    <mergeCell ref="B30:E30"/>
    <mergeCell ref="B31:E31"/>
    <mergeCell ref="B33:E34"/>
    <mergeCell ref="B24:E24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14:E14"/>
    <mergeCell ref="B15:E15"/>
    <mergeCell ref="B16:E16"/>
    <mergeCell ref="B17:E17"/>
    <mergeCell ref="B18:E18"/>
    <mergeCell ref="B8:D8"/>
    <mergeCell ref="B9:D9"/>
    <mergeCell ref="B10:D10"/>
    <mergeCell ref="A12:E12"/>
    <mergeCell ref="B13:E13"/>
    <mergeCell ref="A1:E1"/>
    <mergeCell ref="A2:E2"/>
    <mergeCell ref="A4:E4"/>
    <mergeCell ref="A6:E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Normal="100" workbookViewId="0">
      <selection activeCell="C25" sqref="C25"/>
    </sheetView>
  </sheetViews>
  <sheetFormatPr defaultColWidth="8.6640625" defaultRowHeight="14.4" x14ac:dyDescent="0.3"/>
  <cols>
    <col min="1" max="1" width="4" customWidth="1"/>
    <col min="2" max="2" width="30" customWidth="1"/>
    <col min="3" max="3" width="14" customWidth="1"/>
    <col min="4" max="4" width="16" customWidth="1"/>
    <col min="5" max="7" width="14" customWidth="1"/>
    <col min="8" max="8" width="8" customWidth="1"/>
  </cols>
  <sheetData>
    <row r="1" spans="1:8" ht="30" customHeight="1" x14ac:dyDescent="0.3">
      <c r="A1" s="14" t="s">
        <v>47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48</v>
      </c>
      <c r="B2" s="13"/>
      <c r="C2" s="13"/>
      <c r="D2" s="13"/>
      <c r="E2" s="13"/>
      <c r="F2" s="13"/>
      <c r="G2" s="13"/>
      <c r="H2" s="13"/>
    </row>
    <row r="3" spans="1:8" ht="51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49</v>
      </c>
      <c r="B5" s="10"/>
      <c r="C5" s="10"/>
      <c r="D5" s="10"/>
      <c r="E5" s="10"/>
      <c r="F5" s="10"/>
      <c r="G5" s="10"/>
      <c r="H5" s="10"/>
    </row>
    <row r="6" spans="1:8" ht="15" customHeight="1" x14ac:dyDescent="0.3">
      <c r="B6" s="22" t="s">
        <v>50</v>
      </c>
      <c r="C6" s="23">
        <f>PARAMETER!$C$6</f>
        <v>60</v>
      </c>
      <c r="D6" s="59" t="s">
        <v>51</v>
      </c>
      <c r="E6" s="59"/>
      <c r="F6" s="59"/>
      <c r="G6" s="59"/>
      <c r="H6" s="59"/>
    </row>
    <row r="8" spans="1:8" ht="15" customHeight="1" x14ac:dyDescent="0.3">
      <c r="A8" s="10" t="s">
        <v>52</v>
      </c>
      <c r="B8" s="10"/>
      <c r="C8" s="10"/>
      <c r="D8" s="10"/>
      <c r="E8" s="10"/>
      <c r="F8" s="10"/>
      <c r="G8" s="10"/>
      <c r="H8" s="10"/>
    </row>
    <row r="9" spans="1:8" ht="26.4" x14ac:dyDescent="0.3">
      <c r="B9" s="24" t="s">
        <v>53</v>
      </c>
      <c r="C9" s="24" t="s">
        <v>54</v>
      </c>
      <c r="D9" s="24" t="s">
        <v>55</v>
      </c>
    </row>
    <row r="10" spans="1:8" x14ac:dyDescent="0.3">
      <c r="B10" s="25" t="s">
        <v>56</v>
      </c>
      <c r="C10" s="26">
        <v>1</v>
      </c>
      <c r="D10" s="27">
        <f>IF(ISNUMBER(C10),1/($C$6+C10),0)</f>
        <v>1.6393442622950821E-2</v>
      </c>
    </row>
    <row r="11" spans="1:8" x14ac:dyDescent="0.3">
      <c r="B11" s="25" t="s">
        <v>57</v>
      </c>
      <c r="C11" s="26">
        <v>2</v>
      </c>
      <c r="D11" s="27">
        <f>IF(ISNUMBER(C11),1/($C$6+C11),0)</f>
        <v>1.6129032258064516E-2</v>
      </c>
    </row>
    <row r="12" spans="1:8" x14ac:dyDescent="0.3">
      <c r="B12" s="25" t="s">
        <v>58</v>
      </c>
      <c r="C12" s="26">
        <v>3</v>
      </c>
      <c r="D12" s="27">
        <f>IF(ISNUMBER(C12),1/($C$6+C12),0)</f>
        <v>1.5873015873015872E-2</v>
      </c>
    </row>
    <row r="13" spans="1:8" ht="15.6" x14ac:dyDescent="0.3">
      <c r="B13" s="28" t="s">
        <v>59</v>
      </c>
      <c r="D13" s="29">
        <f>SUM(D10:D12)</f>
        <v>4.8395490754031212E-2</v>
      </c>
    </row>
    <row r="15" spans="1:8" ht="15" customHeight="1" x14ac:dyDescent="0.3">
      <c r="B15" s="59" t="s">
        <v>60</v>
      </c>
      <c r="C15" s="59"/>
      <c r="D15" s="59"/>
      <c r="E15" s="59"/>
      <c r="F15" s="59"/>
      <c r="G15" s="59"/>
      <c r="H15" s="59"/>
    </row>
  </sheetData>
  <mergeCells count="7">
    <mergeCell ref="A8:H8"/>
    <mergeCell ref="B15:H15"/>
    <mergeCell ref="A1:H1"/>
    <mergeCell ref="A2:H2"/>
    <mergeCell ref="A3:H3"/>
    <mergeCell ref="A5:H5"/>
    <mergeCell ref="D6:H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selection activeCell="G23" sqref="G23"/>
    </sheetView>
  </sheetViews>
  <sheetFormatPr defaultColWidth="8.6640625" defaultRowHeight="14.4" x14ac:dyDescent="0.3"/>
  <cols>
    <col min="1" max="1" width="4" customWidth="1"/>
    <col min="2" max="2" width="26" customWidth="1"/>
    <col min="3" max="3" width="12" customWidth="1"/>
    <col min="4" max="4" width="14" customWidth="1"/>
    <col min="5" max="5" width="16" customWidth="1"/>
    <col min="6" max="6" width="18" customWidth="1"/>
    <col min="7" max="7" width="12" customWidth="1"/>
    <col min="8" max="8" width="8" customWidth="1"/>
  </cols>
  <sheetData>
    <row r="1" spans="1:8" ht="30" customHeight="1" x14ac:dyDescent="0.3">
      <c r="A1" s="14" t="s">
        <v>61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62</v>
      </c>
      <c r="B2" s="13"/>
      <c r="C2" s="13"/>
      <c r="D2" s="13"/>
      <c r="E2" s="13"/>
      <c r="F2" s="13"/>
      <c r="G2" s="13"/>
      <c r="H2" s="13"/>
    </row>
    <row r="3" spans="1:8" ht="52.8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63</v>
      </c>
      <c r="B5" s="10"/>
      <c r="C5" s="10"/>
      <c r="D5" s="10"/>
      <c r="E5" s="10"/>
      <c r="F5" s="10"/>
      <c r="G5" s="10"/>
      <c r="H5" s="10"/>
    </row>
    <row r="6" spans="1:8" x14ac:dyDescent="0.3">
      <c r="B6" s="22" t="s">
        <v>50</v>
      </c>
      <c r="C6" s="23">
        <f>PARAMETER!$C$6</f>
        <v>60</v>
      </c>
      <c r="D6" s="20" t="s">
        <v>64</v>
      </c>
    </row>
    <row r="8" spans="1:8" ht="15" customHeight="1" x14ac:dyDescent="0.3">
      <c r="A8" s="10" t="s">
        <v>65</v>
      </c>
      <c r="B8" s="10"/>
      <c r="C8" s="10"/>
      <c r="D8" s="10"/>
      <c r="E8" s="10"/>
      <c r="F8" s="10"/>
      <c r="G8" s="10"/>
      <c r="H8" s="10"/>
    </row>
    <row r="9" spans="1:8" ht="26.4" x14ac:dyDescent="0.3">
      <c r="B9" s="24" t="s">
        <v>66</v>
      </c>
      <c r="C9" s="24" t="s">
        <v>67</v>
      </c>
      <c r="D9" s="24" t="s">
        <v>68</v>
      </c>
      <c r="E9" s="24" t="s">
        <v>69</v>
      </c>
    </row>
    <row r="10" spans="1:8" x14ac:dyDescent="0.3">
      <c r="B10" s="25" t="s">
        <v>70</v>
      </c>
      <c r="C10" s="30">
        <f>PARAMETER!$C$7</f>
        <v>4</v>
      </c>
      <c r="D10" s="26">
        <v>1</v>
      </c>
      <c r="E10" s="27">
        <f>IF(ISNUMBER(D10),C10*1/($C$6+D10),0)</f>
        <v>6.5573770491803282E-2</v>
      </c>
    </row>
    <row r="11" spans="1:8" x14ac:dyDescent="0.3">
      <c r="B11" s="25" t="s">
        <v>71</v>
      </c>
      <c r="C11" s="30">
        <f>PARAMETER!$C$8</f>
        <v>1</v>
      </c>
      <c r="D11" s="26">
        <v>2</v>
      </c>
      <c r="E11" s="27">
        <f>IF(ISNUMBER(D11),C11*1/($C$6+D11),0)</f>
        <v>1.6129032258064516E-2</v>
      </c>
    </row>
    <row r="12" spans="1:8" x14ac:dyDescent="0.3">
      <c r="B12" s="25" t="s">
        <v>72</v>
      </c>
      <c r="C12" s="30">
        <f>PARAMETER!$C$9</f>
        <v>1</v>
      </c>
      <c r="D12" s="26">
        <v>2</v>
      </c>
      <c r="E12" s="27">
        <f>IF(ISNUMBER(D12),C12*1/($C$6+D12),0)</f>
        <v>1.6129032258064516E-2</v>
      </c>
    </row>
    <row r="13" spans="1:8" ht="15.6" x14ac:dyDescent="0.3">
      <c r="B13" s="60" t="s">
        <v>73</v>
      </c>
      <c r="C13" s="60"/>
      <c r="D13" s="60"/>
      <c r="E13" s="29">
        <f>SUM(E10:E12)</f>
        <v>9.7831835007932313E-2</v>
      </c>
    </row>
  </sheetData>
  <mergeCells count="6">
    <mergeCell ref="B13:D13"/>
    <mergeCell ref="A1:H1"/>
    <mergeCell ref="A2:H2"/>
    <mergeCell ref="A3:H3"/>
    <mergeCell ref="A5:H5"/>
    <mergeCell ref="A8:H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showGridLines="0" zoomScale="97" zoomScaleNormal="100" workbookViewId="0">
      <selection activeCell="D13" sqref="D13"/>
    </sheetView>
  </sheetViews>
  <sheetFormatPr defaultColWidth="8.6640625" defaultRowHeight="14.4" x14ac:dyDescent="0.3"/>
  <cols>
    <col min="1" max="1" width="30.109375" customWidth="1"/>
    <col min="2" max="2" width="10.5546875" customWidth="1"/>
    <col min="3" max="4" width="9" customWidth="1"/>
    <col min="5" max="5" width="11" customWidth="1"/>
    <col min="6" max="7" width="14" customWidth="1"/>
    <col min="8" max="8" width="12" customWidth="1"/>
    <col min="9" max="9" width="13" customWidth="1"/>
    <col min="10" max="10" width="15.5546875" customWidth="1"/>
  </cols>
  <sheetData>
    <row r="1" spans="1:10" ht="30" customHeight="1" x14ac:dyDescent="0.3">
      <c r="A1" s="14" t="s">
        <v>74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75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69.599999999999994" customHeight="1" x14ac:dyDescent="0.3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 x14ac:dyDescent="0.3">
      <c r="A4" s="65"/>
    </row>
    <row r="5" spans="1:10" ht="15" customHeight="1" x14ac:dyDescent="0.3">
      <c r="A5" s="10" t="s">
        <v>76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B6" s="22" t="s">
        <v>50</v>
      </c>
      <c r="C6" s="23">
        <f>PARAMETER!$C$6</f>
        <v>60</v>
      </c>
      <c r="E6" s="61" t="s">
        <v>77</v>
      </c>
      <c r="F6" s="61"/>
      <c r="G6" s="61"/>
      <c r="H6" s="61"/>
      <c r="I6" s="32">
        <f>(C7+C8+C9)*1/(C6+1)</f>
        <v>9.8360655737704916E-2</v>
      </c>
    </row>
    <row r="7" spans="1:10" ht="15" customHeight="1" x14ac:dyDescent="0.3">
      <c r="B7" s="22" t="s">
        <v>78</v>
      </c>
      <c r="C7" s="33">
        <f>PARAMETER!$C$7</f>
        <v>4</v>
      </c>
      <c r="E7" s="59" t="s">
        <v>79</v>
      </c>
      <c r="F7" s="59"/>
      <c r="G7" s="59"/>
      <c r="H7" s="59"/>
    </row>
    <row r="8" spans="1:10" x14ac:dyDescent="0.3">
      <c r="B8" s="22" t="s">
        <v>80</v>
      </c>
      <c r="C8" s="33">
        <f>PARAMETER!$C$8</f>
        <v>1</v>
      </c>
    </row>
    <row r="9" spans="1:10" x14ac:dyDescent="0.3">
      <c r="B9" s="22" t="s">
        <v>81</v>
      </c>
      <c r="C9" s="33">
        <f>PARAMETER!$C$9</f>
        <v>1</v>
      </c>
    </row>
    <row r="11" spans="1:10" ht="15" customHeight="1" x14ac:dyDescent="0.3">
      <c r="A11" s="10" t="s">
        <v>82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27.75" customHeight="1" x14ac:dyDescent="0.3">
      <c r="A12" s="34" t="s">
        <v>83</v>
      </c>
      <c r="B12" s="34" t="s">
        <v>84</v>
      </c>
      <c r="C12" s="34" t="s">
        <v>85</v>
      </c>
      <c r="D12" s="34" t="s">
        <v>86</v>
      </c>
      <c r="E12" s="34" t="s">
        <v>87</v>
      </c>
      <c r="F12" s="34" t="s">
        <v>88</v>
      </c>
      <c r="G12" s="34" t="s">
        <v>89</v>
      </c>
      <c r="H12" s="34" t="s">
        <v>90</v>
      </c>
      <c r="I12" s="34" t="s">
        <v>91</v>
      </c>
      <c r="J12" s="34" t="s">
        <v>92</v>
      </c>
    </row>
    <row r="13" spans="1:10" x14ac:dyDescent="0.3">
      <c r="A13" s="35" t="s">
        <v>93</v>
      </c>
      <c r="B13" s="36">
        <v>0</v>
      </c>
      <c r="C13" s="36">
        <v>1</v>
      </c>
      <c r="D13" s="36">
        <v>1</v>
      </c>
      <c r="E13" s="37">
        <f t="shared" ref="E13:E19" si="0">IF(ISNUMBER(B13),$C$7*1/($C$6+B13+1),0)</f>
        <v>6.5573770491803282E-2</v>
      </c>
      <c r="F13" s="37">
        <f t="shared" ref="F13:F19" si="1">IF(ISNUMBER(C13),$C$8*1/($C$6+C13+1),0)</f>
        <v>1.6129032258064516E-2</v>
      </c>
      <c r="G13" s="37">
        <f t="shared" ref="G13:G19" si="2">IF(ISNUMBER(D13),$C$9*1/($C$6+D13+1),0)</f>
        <v>1.6129032258064516E-2</v>
      </c>
      <c r="H13" s="37">
        <f t="shared" ref="H13:H19" si="3">SUM(E13:G13)</f>
        <v>9.7831835007932313E-2</v>
      </c>
      <c r="I13" s="37">
        <f t="shared" ref="I13:I19" si="4">MIN(H13/$I$6,1)</f>
        <v>0.9946236559139785</v>
      </c>
      <c r="J13" s="38">
        <f t="shared" ref="J13:J19" si="5">RANK(H13,$H$13:$H$19)</f>
        <v>1</v>
      </c>
    </row>
    <row r="14" spans="1:10" ht="108" x14ac:dyDescent="0.3">
      <c r="A14" s="35" t="s">
        <v>94</v>
      </c>
      <c r="B14" s="36">
        <v>1</v>
      </c>
      <c r="C14" s="36">
        <v>0</v>
      </c>
      <c r="D14" s="36">
        <v>2</v>
      </c>
      <c r="E14" s="37">
        <f t="shared" si="0"/>
        <v>6.4516129032258063E-2</v>
      </c>
      <c r="F14" s="37">
        <f t="shared" si="1"/>
        <v>1.6393442622950821E-2</v>
      </c>
      <c r="G14" s="37">
        <f t="shared" si="2"/>
        <v>1.5873015873015872E-2</v>
      </c>
      <c r="H14" s="37">
        <f t="shared" si="3"/>
        <v>9.6782587528224759E-2</v>
      </c>
      <c r="I14" s="37">
        <f t="shared" si="4"/>
        <v>0.98395630653695176</v>
      </c>
      <c r="J14" s="38">
        <f t="shared" si="5"/>
        <v>2</v>
      </c>
    </row>
    <row r="15" spans="1:10" ht="108" x14ac:dyDescent="0.3">
      <c r="A15" s="35" t="s">
        <v>95</v>
      </c>
      <c r="B15" s="36">
        <v>2</v>
      </c>
      <c r="C15" s="36">
        <v>2</v>
      </c>
      <c r="D15" s="36">
        <v>4</v>
      </c>
      <c r="E15" s="37">
        <f t="shared" si="0"/>
        <v>6.3492063492063489E-2</v>
      </c>
      <c r="F15" s="37">
        <f t="shared" si="1"/>
        <v>1.5873015873015872E-2</v>
      </c>
      <c r="G15" s="37">
        <f t="shared" si="2"/>
        <v>1.5384615384615385E-2</v>
      </c>
      <c r="H15" s="37">
        <f t="shared" si="3"/>
        <v>9.4749694749694746E-2</v>
      </c>
      <c r="I15" s="37">
        <f t="shared" si="4"/>
        <v>0.96328856328856327</v>
      </c>
      <c r="J15" s="38">
        <f t="shared" si="5"/>
        <v>3</v>
      </c>
    </row>
    <row r="16" spans="1:10" ht="108" x14ac:dyDescent="0.3">
      <c r="A16" s="35" t="s">
        <v>96</v>
      </c>
      <c r="B16" s="36">
        <v>4</v>
      </c>
      <c r="C16" s="36"/>
      <c r="D16" s="36">
        <v>0</v>
      </c>
      <c r="E16" s="37">
        <f t="shared" si="0"/>
        <v>6.1538461538461542E-2</v>
      </c>
      <c r="F16" s="37">
        <f t="shared" si="1"/>
        <v>0</v>
      </c>
      <c r="G16" s="37">
        <f t="shared" si="2"/>
        <v>1.6393442622950821E-2</v>
      </c>
      <c r="H16" s="37">
        <f t="shared" si="3"/>
        <v>7.7931904161412366E-2</v>
      </c>
      <c r="I16" s="37">
        <f t="shared" si="4"/>
        <v>0.79230769230769238</v>
      </c>
      <c r="J16" s="38">
        <f t="shared" si="5"/>
        <v>4</v>
      </c>
    </row>
    <row r="17" spans="1:10" ht="72" x14ac:dyDescent="0.3">
      <c r="A17" s="35" t="s">
        <v>97</v>
      </c>
      <c r="B17" s="36">
        <v>5</v>
      </c>
      <c r="C17" s="36">
        <v>4</v>
      </c>
      <c r="D17" s="36"/>
      <c r="E17" s="37">
        <f t="shared" si="0"/>
        <v>6.0606060606060608E-2</v>
      </c>
      <c r="F17" s="37">
        <f t="shared" si="1"/>
        <v>1.5384615384615385E-2</v>
      </c>
      <c r="G17" s="37">
        <f t="shared" si="2"/>
        <v>0</v>
      </c>
      <c r="H17" s="37">
        <f t="shared" si="3"/>
        <v>7.5990675990675993E-2</v>
      </c>
      <c r="I17" s="37">
        <f t="shared" si="4"/>
        <v>0.77257187257187265</v>
      </c>
      <c r="J17" s="38">
        <f t="shared" si="5"/>
        <v>5</v>
      </c>
    </row>
    <row r="18" spans="1:10" ht="72" x14ac:dyDescent="0.3">
      <c r="A18" s="35" t="s">
        <v>98</v>
      </c>
      <c r="B18" s="36"/>
      <c r="C18" s="36">
        <v>3</v>
      </c>
      <c r="D18" s="36"/>
      <c r="E18" s="37">
        <f t="shared" si="0"/>
        <v>0</v>
      </c>
      <c r="F18" s="37">
        <f t="shared" si="1"/>
        <v>1.5625E-2</v>
      </c>
      <c r="G18" s="37">
        <f t="shared" si="2"/>
        <v>0</v>
      </c>
      <c r="H18" s="37">
        <f t="shared" si="3"/>
        <v>1.5625E-2</v>
      </c>
      <c r="I18" s="37">
        <f t="shared" si="4"/>
        <v>0.15885416666666666</v>
      </c>
      <c r="J18" s="38">
        <f t="shared" si="5"/>
        <v>6</v>
      </c>
    </row>
    <row r="19" spans="1:10" ht="96" x14ac:dyDescent="0.3">
      <c r="A19" s="35" t="s">
        <v>99</v>
      </c>
      <c r="B19" s="36"/>
      <c r="C19" s="36"/>
      <c r="D19" s="36">
        <v>3</v>
      </c>
      <c r="E19" s="37">
        <f t="shared" si="0"/>
        <v>0</v>
      </c>
      <c r="F19" s="37">
        <f t="shared" si="1"/>
        <v>0</v>
      </c>
      <c r="G19" s="37">
        <f t="shared" si="2"/>
        <v>1.5625E-2</v>
      </c>
      <c r="H19" s="37">
        <f t="shared" si="3"/>
        <v>1.5625E-2</v>
      </c>
      <c r="I19" s="37">
        <f t="shared" si="4"/>
        <v>0.15885416666666666</v>
      </c>
      <c r="J19" s="38">
        <f t="shared" si="5"/>
        <v>6</v>
      </c>
    </row>
    <row r="21" spans="1:10" ht="15" customHeight="1" x14ac:dyDescent="0.3">
      <c r="B21" s="1" t="s">
        <v>100</v>
      </c>
      <c r="C21" s="1"/>
      <c r="D21" s="1"/>
      <c r="E21" s="1"/>
      <c r="F21" s="1"/>
      <c r="G21" s="1"/>
      <c r="H21" s="1"/>
      <c r="I21" s="1"/>
      <c r="J21" s="1"/>
    </row>
    <row r="22" spans="1:10" x14ac:dyDescent="0.3">
      <c r="B22" s="1"/>
      <c r="C22" s="1"/>
      <c r="D22" s="1"/>
      <c r="E22" s="1"/>
      <c r="F22" s="1"/>
      <c r="G22" s="1"/>
      <c r="H22" s="1"/>
      <c r="I22" s="1"/>
      <c r="J22" s="1"/>
    </row>
  </sheetData>
  <mergeCells count="8">
    <mergeCell ref="E7:H7"/>
    <mergeCell ref="A11:J11"/>
    <mergeCell ref="B21:J22"/>
    <mergeCell ref="A1:J1"/>
    <mergeCell ref="A2:J2"/>
    <mergeCell ref="A3:J3"/>
    <mergeCell ref="A5:J5"/>
    <mergeCell ref="E6:H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zoomScaleNormal="100" workbookViewId="0">
      <selection activeCell="E15" sqref="E15"/>
    </sheetView>
  </sheetViews>
  <sheetFormatPr defaultColWidth="8.6640625" defaultRowHeight="14.4" x14ac:dyDescent="0.3"/>
  <cols>
    <col min="1" max="1" width="4" customWidth="1"/>
    <col min="2" max="2" width="36" customWidth="1"/>
    <col min="3" max="3" width="16" customWidth="1"/>
    <col min="4" max="5" width="14" customWidth="1"/>
    <col min="6" max="6" width="16" customWidth="1"/>
    <col min="7" max="7" width="12" customWidth="1"/>
    <col min="8" max="8" width="8" customWidth="1"/>
  </cols>
  <sheetData>
    <row r="1" spans="1:8" ht="30" customHeight="1" x14ac:dyDescent="0.3">
      <c r="A1" s="14" t="s">
        <v>101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102</v>
      </c>
      <c r="B2" s="13"/>
      <c r="C2" s="13"/>
      <c r="D2" s="13"/>
      <c r="E2" s="13"/>
      <c r="F2" s="13"/>
      <c r="G2" s="13"/>
      <c r="H2" s="13"/>
    </row>
    <row r="3" spans="1:8" ht="47.4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103</v>
      </c>
      <c r="B5" s="10"/>
      <c r="C5" s="10"/>
      <c r="D5" s="10"/>
      <c r="E5" s="10"/>
      <c r="F5" s="10"/>
      <c r="G5" s="10"/>
      <c r="H5" s="10"/>
    </row>
    <row r="6" spans="1:8" x14ac:dyDescent="0.3">
      <c r="B6" s="18" t="s">
        <v>104</v>
      </c>
      <c r="C6" s="39">
        <f>'4.1 RRF Implementasi'!$H$13</f>
        <v>9.7831835007932313E-2</v>
      </c>
    </row>
    <row r="7" spans="1:8" x14ac:dyDescent="0.3">
      <c r="B7" s="18" t="s">
        <v>105</v>
      </c>
      <c r="C7" s="39">
        <f>'4.1 RRF Implementasi'!$I$6</f>
        <v>9.8360655737704916E-2</v>
      </c>
    </row>
    <row r="9" spans="1:8" ht="15" customHeight="1" x14ac:dyDescent="0.3">
      <c r="A9" s="10" t="s">
        <v>106</v>
      </c>
      <c r="B9" s="10"/>
      <c r="C9" s="10"/>
      <c r="D9" s="10"/>
      <c r="E9" s="10"/>
      <c r="F9" s="10"/>
      <c r="G9" s="10"/>
      <c r="H9" s="10"/>
    </row>
    <row r="10" spans="1:8" ht="15" customHeight="1" x14ac:dyDescent="0.3">
      <c r="B10" s="5" t="s">
        <v>107</v>
      </c>
      <c r="C10" s="5"/>
      <c r="D10" s="5"/>
      <c r="E10" s="5"/>
      <c r="F10" s="40">
        <f>MIN(C6/C7,1)</f>
        <v>0.9946236559139785</v>
      </c>
    </row>
    <row r="12" spans="1:8" ht="15" customHeight="1" x14ac:dyDescent="0.3">
      <c r="B12" s="59" t="s">
        <v>108</v>
      </c>
      <c r="C12" s="59"/>
      <c r="D12" s="59"/>
      <c r="E12" s="59"/>
      <c r="F12" s="59"/>
      <c r="G12" s="59"/>
      <c r="H12" s="59"/>
    </row>
  </sheetData>
  <mergeCells count="7">
    <mergeCell ref="B10:E10"/>
    <mergeCell ref="B12:H12"/>
    <mergeCell ref="A1:H1"/>
    <mergeCell ref="A2:H2"/>
    <mergeCell ref="A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zoomScale="91" zoomScaleNormal="88" workbookViewId="0">
      <selection activeCell="E13" sqref="E13"/>
    </sheetView>
  </sheetViews>
  <sheetFormatPr defaultColWidth="8.6640625" defaultRowHeight="14.4" x14ac:dyDescent="0.3"/>
  <cols>
    <col min="1" max="1" width="4" customWidth="1"/>
    <col min="2" max="2" width="35.44140625" customWidth="1"/>
    <col min="3" max="3" width="23.21875" customWidth="1"/>
    <col min="4" max="5" width="14" customWidth="1"/>
    <col min="6" max="6" width="18" customWidth="1"/>
    <col min="7" max="7" width="12" customWidth="1"/>
    <col min="8" max="8" width="8" customWidth="1"/>
  </cols>
  <sheetData>
    <row r="1" spans="1:8" ht="30" customHeight="1" x14ac:dyDescent="0.3">
      <c r="A1" s="14" t="s">
        <v>109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110</v>
      </c>
      <c r="B2" s="13"/>
      <c r="C2" s="13"/>
      <c r="D2" s="13"/>
      <c r="E2" s="13"/>
      <c r="F2" s="13"/>
      <c r="G2" s="13"/>
      <c r="H2" s="13"/>
    </row>
    <row r="3" spans="1:8" ht="50.4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111</v>
      </c>
      <c r="B5" s="10"/>
      <c r="C5" s="10"/>
      <c r="D5" s="10"/>
      <c r="E5" s="10"/>
      <c r="F5" s="10"/>
      <c r="G5" s="10"/>
      <c r="H5" s="10"/>
    </row>
    <row r="6" spans="1:8" ht="27.6" x14ac:dyDescent="0.3">
      <c r="B6" s="22" t="s">
        <v>13</v>
      </c>
      <c r="C6" s="41">
        <f>PARAMETER!$C$12</f>
        <v>0.4</v>
      </c>
    </row>
    <row r="8" spans="1:8" ht="15" customHeight="1" x14ac:dyDescent="0.3">
      <c r="A8" s="10" t="s">
        <v>112</v>
      </c>
      <c r="B8" s="10"/>
      <c r="C8" s="10"/>
      <c r="D8" s="10"/>
      <c r="E8" s="10"/>
      <c r="F8" s="10"/>
      <c r="G8" s="10"/>
      <c r="H8" s="10"/>
    </row>
    <row r="9" spans="1:8" ht="26.4" x14ac:dyDescent="0.3">
      <c r="B9" s="24" t="s">
        <v>113</v>
      </c>
      <c r="C9" s="24" t="s">
        <v>114</v>
      </c>
      <c r="D9" s="24" t="s">
        <v>115</v>
      </c>
    </row>
    <row r="10" spans="1:8" x14ac:dyDescent="0.3">
      <c r="B10" s="42">
        <v>3</v>
      </c>
      <c r="C10" s="43">
        <f>1/(1+EXP(-B10))</f>
        <v>0.95257412682243336</v>
      </c>
      <c r="D10" s="38" t="str">
        <f>IF(C10&gt;=$C$6,"Ya","Tidak")</f>
        <v>Ya</v>
      </c>
    </row>
    <row r="11" spans="1:8" x14ac:dyDescent="0.3">
      <c r="B11" s="42">
        <v>1.5</v>
      </c>
      <c r="C11" s="43">
        <f>1/(1+EXP(-B11))</f>
        <v>0.81757447619364365</v>
      </c>
      <c r="D11" s="38" t="str">
        <f>IF(C11&gt;=$C$6,"Ya","Tidak")</f>
        <v>Ya</v>
      </c>
    </row>
    <row r="12" spans="1:8" x14ac:dyDescent="0.3">
      <c r="B12" s="42">
        <v>0</v>
      </c>
      <c r="C12" s="43">
        <f>1/(1+EXP(-B12))</f>
        <v>0.5</v>
      </c>
      <c r="D12" s="38" t="str">
        <f>IF(C12&gt;=$C$6,"Ya","Tidak")</f>
        <v>Ya</v>
      </c>
    </row>
    <row r="13" spans="1:8" x14ac:dyDescent="0.3">
      <c r="B13" s="42">
        <v>-0.5</v>
      </c>
      <c r="C13" s="43">
        <f>1/(1+EXP(-B13))</f>
        <v>0.37754066879814541</v>
      </c>
      <c r="D13" s="38" t="str">
        <f>IF(C13&gt;=$C$6,"Ya","Tidak")</f>
        <v>Tidak</v>
      </c>
    </row>
    <row r="14" spans="1:8" x14ac:dyDescent="0.3">
      <c r="B14" s="42">
        <v>-2</v>
      </c>
      <c r="C14" s="43">
        <f>1/(1+EXP(-B14))</f>
        <v>0.11920292202211755</v>
      </c>
      <c r="D14" s="38" t="str">
        <f>IF(C14&gt;=$C$6,"Ya","Tidak")</f>
        <v>Tidak</v>
      </c>
    </row>
    <row r="16" spans="1:8" ht="15" customHeight="1" x14ac:dyDescent="0.3">
      <c r="A16" s="10" t="s">
        <v>116</v>
      </c>
      <c r="B16" s="10"/>
      <c r="C16" s="10"/>
      <c r="D16" s="10"/>
      <c r="E16" s="10"/>
      <c r="F16" s="10"/>
      <c r="G16" s="10"/>
      <c r="H16" s="10"/>
    </row>
    <row r="17" spans="2:8" ht="27.75" customHeight="1" x14ac:dyDescent="0.3">
      <c r="B17" s="34" t="s">
        <v>117</v>
      </c>
      <c r="C17" s="34" t="s">
        <v>83</v>
      </c>
      <c r="D17" s="34" t="s">
        <v>118</v>
      </c>
      <c r="E17" s="34" t="s">
        <v>119</v>
      </c>
      <c r="F17" s="34" t="s">
        <v>120</v>
      </c>
    </row>
    <row r="18" spans="2:8" ht="24" x14ac:dyDescent="0.3">
      <c r="B18" s="25">
        <v>1</v>
      </c>
      <c r="C18" s="35" t="s">
        <v>121</v>
      </c>
      <c r="D18" s="44">
        <v>2.4</v>
      </c>
      <c r="E18" s="43">
        <f>1/(1+EXP(-D18))</f>
        <v>0.91682730350607766</v>
      </c>
      <c r="F18" s="26">
        <v>1</v>
      </c>
    </row>
    <row r="19" spans="2:8" ht="24" x14ac:dyDescent="0.3">
      <c r="B19" s="25">
        <v>2</v>
      </c>
      <c r="C19" s="35" t="s">
        <v>122</v>
      </c>
      <c r="D19" s="44">
        <v>1.1000000000000001</v>
      </c>
      <c r="E19" s="43">
        <f>1/(1+EXP(-D19))</f>
        <v>0.75026010559511769</v>
      </c>
      <c r="F19" s="26">
        <v>0</v>
      </c>
    </row>
    <row r="20" spans="2:8" ht="24" x14ac:dyDescent="0.3">
      <c r="B20" s="25">
        <v>3</v>
      </c>
      <c r="C20" s="35" t="s">
        <v>123</v>
      </c>
      <c r="D20" s="44">
        <v>0.85</v>
      </c>
      <c r="E20" s="43">
        <f>1/(1+EXP(-D20))</f>
        <v>0.70056714247397289</v>
      </c>
      <c r="F20" s="26">
        <v>1</v>
      </c>
    </row>
    <row r="21" spans="2:8" ht="24" x14ac:dyDescent="0.3">
      <c r="B21" s="25">
        <v>4</v>
      </c>
      <c r="C21" s="35" t="s">
        <v>124</v>
      </c>
      <c r="D21" s="44">
        <v>0.3</v>
      </c>
      <c r="E21" s="43">
        <f>1/(1+EXP(-D21))</f>
        <v>0.57444251681165903</v>
      </c>
      <c r="F21" s="26">
        <v>0</v>
      </c>
    </row>
    <row r="22" spans="2:8" x14ac:dyDescent="0.3">
      <c r="B22" s="25">
        <v>5</v>
      </c>
      <c r="C22" s="35" t="s">
        <v>125</v>
      </c>
      <c r="D22" s="44">
        <v>0.1</v>
      </c>
      <c r="E22" s="43">
        <f>1/(1+EXP(-D22))</f>
        <v>0.52497918747894001</v>
      </c>
      <c r="F22" s="26">
        <v>0</v>
      </c>
    </row>
    <row r="23" spans="2:8" ht="15" customHeight="1" x14ac:dyDescent="0.3">
      <c r="B23" s="1" t="s">
        <v>126</v>
      </c>
      <c r="C23" s="1"/>
      <c r="D23" s="1"/>
      <c r="E23" s="1"/>
      <c r="F23" s="1"/>
      <c r="G23" s="1"/>
      <c r="H23" s="1"/>
    </row>
    <row r="24" spans="2:8" x14ac:dyDescent="0.3">
      <c r="B24" s="1"/>
      <c r="C24" s="1"/>
      <c r="D24" s="1"/>
      <c r="E24" s="1"/>
      <c r="F24" s="1"/>
      <c r="G24" s="1"/>
      <c r="H24" s="1"/>
    </row>
  </sheetData>
  <mergeCells count="7">
    <mergeCell ref="A16:H16"/>
    <mergeCell ref="B23:H24"/>
    <mergeCell ref="A1:H1"/>
    <mergeCell ref="A2:H2"/>
    <mergeCell ref="A3:H3"/>
    <mergeCell ref="A5:H5"/>
    <mergeCell ref="A8:H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zoomScale="107" zoomScaleNormal="100" workbookViewId="0">
      <selection activeCell="H16" sqref="H16"/>
    </sheetView>
  </sheetViews>
  <sheetFormatPr defaultColWidth="8.6640625" defaultRowHeight="14.4" x14ac:dyDescent="0.3"/>
  <cols>
    <col min="1" max="1" width="4" customWidth="1"/>
    <col min="2" max="2" width="36" customWidth="1"/>
    <col min="3" max="6" width="14" customWidth="1"/>
    <col min="7" max="7" width="12" customWidth="1"/>
    <col min="8" max="8" width="8" customWidth="1"/>
  </cols>
  <sheetData>
    <row r="1" spans="1:8" ht="30" customHeight="1" x14ac:dyDescent="0.3">
      <c r="A1" s="14" t="s">
        <v>127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128</v>
      </c>
      <c r="B2" s="13"/>
      <c r="C2" s="13"/>
      <c r="D2" s="13"/>
      <c r="E2" s="13"/>
      <c r="F2" s="13"/>
      <c r="G2" s="13"/>
      <c r="H2" s="13"/>
    </row>
    <row r="3" spans="1:8" ht="65.400000000000006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130</v>
      </c>
      <c r="B5" s="10"/>
      <c r="C5" s="10"/>
      <c r="D5" s="10"/>
      <c r="E5" s="10"/>
      <c r="F5" s="10"/>
      <c r="G5" s="10"/>
      <c r="H5" s="10"/>
    </row>
    <row r="6" spans="1:8" ht="26.4" x14ac:dyDescent="0.3">
      <c r="B6" s="18" t="s">
        <v>131</v>
      </c>
      <c r="C6" s="26">
        <v>9</v>
      </c>
    </row>
    <row r="7" spans="1:8" ht="26.4" x14ac:dyDescent="0.3">
      <c r="B7" s="18" t="s">
        <v>132</v>
      </c>
      <c r="C7" s="26">
        <v>11</v>
      </c>
    </row>
    <row r="9" spans="1:8" ht="15" customHeight="1" x14ac:dyDescent="0.3">
      <c r="A9" s="10" t="s">
        <v>106</v>
      </c>
      <c r="B9" s="10"/>
      <c r="C9" s="10"/>
      <c r="D9" s="10"/>
      <c r="E9" s="10"/>
      <c r="F9" s="10"/>
      <c r="G9" s="10"/>
      <c r="H9" s="10"/>
    </row>
    <row r="10" spans="1:8" ht="15" customHeight="1" x14ac:dyDescent="0.3">
      <c r="B10" s="5" t="s">
        <v>129</v>
      </c>
      <c r="C10" s="5"/>
      <c r="D10" s="5"/>
      <c r="E10" s="5"/>
      <c r="F10" s="40">
        <f>C6/C7</f>
        <v>0.81818181818181823</v>
      </c>
    </row>
    <row r="12" spans="1:8" ht="15" customHeight="1" x14ac:dyDescent="0.3">
      <c r="B12" s="59" t="s">
        <v>133</v>
      </c>
      <c r="C12" s="59"/>
      <c r="D12" s="59"/>
      <c r="E12" s="59"/>
      <c r="F12" s="59"/>
      <c r="G12" s="59"/>
      <c r="H12" s="59"/>
    </row>
  </sheetData>
  <mergeCells count="7">
    <mergeCell ref="B10:E10"/>
    <mergeCell ref="B12:H12"/>
    <mergeCell ref="A1:H1"/>
    <mergeCell ref="A2:H2"/>
    <mergeCell ref="A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zoomScaleNormal="100" workbookViewId="0">
      <selection activeCell="C12" sqref="C12"/>
    </sheetView>
  </sheetViews>
  <sheetFormatPr defaultColWidth="8.6640625" defaultRowHeight="14.4" x14ac:dyDescent="0.3"/>
  <cols>
    <col min="1" max="1" width="4" customWidth="1"/>
    <col min="2" max="2" width="34" customWidth="1"/>
    <col min="3" max="3" width="14" customWidth="1"/>
    <col min="4" max="4" width="16" customWidth="1"/>
    <col min="5" max="6" width="14" customWidth="1"/>
    <col min="7" max="7" width="12" customWidth="1"/>
    <col min="8" max="8" width="8" customWidth="1"/>
  </cols>
  <sheetData>
    <row r="1" spans="1:8" ht="30" customHeight="1" x14ac:dyDescent="0.3">
      <c r="A1" s="14" t="s">
        <v>134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135</v>
      </c>
      <c r="B2" s="13"/>
      <c r="C2" s="13"/>
      <c r="D2" s="13"/>
      <c r="E2" s="13"/>
      <c r="F2" s="13"/>
      <c r="G2" s="13"/>
      <c r="H2" s="13"/>
    </row>
    <row r="3" spans="1:8" ht="57" customHeight="1" x14ac:dyDescent="0.3">
      <c r="A3" s="58"/>
      <c r="B3" s="58"/>
      <c r="C3" s="58"/>
      <c r="D3" s="58"/>
      <c r="E3" s="58"/>
      <c r="F3" s="58"/>
      <c r="G3" s="58"/>
      <c r="H3" s="58"/>
    </row>
    <row r="4" spans="1:8" x14ac:dyDescent="0.3">
      <c r="A4" s="65"/>
    </row>
    <row r="5" spans="1:8" ht="15" customHeight="1" x14ac:dyDescent="0.3">
      <c r="A5" s="10" t="s">
        <v>136</v>
      </c>
      <c r="B5" s="10"/>
      <c r="C5" s="10"/>
      <c r="D5" s="10"/>
      <c r="E5" s="10"/>
      <c r="F5" s="10"/>
      <c r="G5" s="10"/>
      <c r="H5" s="10"/>
    </row>
    <row r="6" spans="1:8" ht="26.4" x14ac:dyDescent="0.3">
      <c r="B6" s="18" t="s">
        <v>137</v>
      </c>
      <c r="C6" s="23">
        <f>PARAMETER!$C$15</f>
        <v>3</v>
      </c>
    </row>
    <row r="8" spans="1:8" ht="15" customHeight="1" x14ac:dyDescent="0.3">
      <c r="A8" s="10" t="s">
        <v>138</v>
      </c>
      <c r="B8" s="10"/>
      <c r="C8" s="10"/>
      <c r="D8" s="10"/>
      <c r="E8" s="10"/>
      <c r="F8" s="10"/>
      <c r="G8" s="10"/>
      <c r="H8" s="10"/>
    </row>
    <row r="9" spans="1:8" x14ac:dyDescent="0.3">
      <c r="B9" s="24" t="s">
        <v>139</v>
      </c>
      <c r="C9" s="24" t="s">
        <v>140</v>
      </c>
    </row>
    <row r="10" spans="1:8" x14ac:dyDescent="0.3">
      <c r="B10" s="25">
        <v>1</v>
      </c>
      <c r="C10" s="45">
        <v>0.86119999999999997</v>
      </c>
    </row>
    <row r="11" spans="1:8" x14ac:dyDescent="0.3">
      <c r="B11" s="25">
        <v>2</v>
      </c>
      <c r="C11" s="45">
        <v>0.84550000000000003</v>
      </c>
    </row>
    <row r="12" spans="1:8" x14ac:dyDescent="0.3">
      <c r="B12" s="25">
        <v>3</v>
      </c>
      <c r="C12" s="45">
        <v>0.82499999999999996</v>
      </c>
    </row>
    <row r="14" spans="1:8" ht="15.6" x14ac:dyDescent="0.3">
      <c r="B14" s="31" t="s">
        <v>141</v>
      </c>
      <c r="C14" s="40">
        <f>AVERAGE(C10:C12)</f>
        <v>0.84389999999999998</v>
      </c>
    </row>
    <row r="16" spans="1:8" ht="15" customHeight="1" x14ac:dyDescent="0.3">
      <c r="B16" s="59" t="s">
        <v>142</v>
      </c>
      <c r="C16" s="59"/>
      <c r="D16" s="59"/>
      <c r="E16" s="59"/>
      <c r="F16" s="59"/>
      <c r="G16" s="59"/>
      <c r="H16" s="59"/>
    </row>
  </sheetData>
  <mergeCells count="6">
    <mergeCell ref="B16:H16"/>
    <mergeCell ref="A1:H1"/>
    <mergeCell ref="A2:H2"/>
    <mergeCell ref="A3:H3"/>
    <mergeCell ref="A5:H5"/>
    <mergeCell ref="A8:H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showGridLines="0" tabSelected="1" zoomScaleNormal="100" workbookViewId="0">
      <selection activeCell="D8" sqref="D8"/>
    </sheetView>
  </sheetViews>
  <sheetFormatPr defaultColWidth="8.6640625" defaultRowHeight="14.4" x14ac:dyDescent="0.3"/>
  <cols>
    <col min="1" max="1" width="4" customWidth="1"/>
    <col min="2" max="2" width="14" customWidth="1"/>
    <col min="3" max="3" width="18" customWidth="1"/>
    <col min="4" max="4" width="16" customWidth="1"/>
    <col min="5" max="5" width="20.21875" customWidth="1"/>
    <col min="6" max="6" width="14" customWidth="1"/>
    <col min="7" max="7" width="8" customWidth="1"/>
  </cols>
  <sheetData>
    <row r="1" spans="1:7" ht="30" customHeight="1" x14ac:dyDescent="0.3">
      <c r="A1" s="14" t="s">
        <v>143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144</v>
      </c>
      <c r="B2" s="13"/>
      <c r="C2" s="13"/>
      <c r="D2" s="13"/>
      <c r="E2" s="13"/>
      <c r="F2" s="13"/>
      <c r="G2" s="13"/>
    </row>
    <row r="3" spans="1:7" ht="64.2" customHeight="1" x14ac:dyDescent="0.3">
      <c r="A3" s="58"/>
      <c r="B3" s="58"/>
      <c r="C3" s="58"/>
      <c r="D3" s="58"/>
      <c r="E3" s="58"/>
      <c r="F3" s="58"/>
      <c r="G3" s="58"/>
    </row>
    <row r="4" spans="1:7" x14ac:dyDescent="0.3">
      <c r="A4" s="65"/>
    </row>
    <row r="5" spans="1:7" ht="15" customHeight="1" x14ac:dyDescent="0.3">
      <c r="A5" s="10" t="s">
        <v>145</v>
      </c>
      <c r="B5" s="10"/>
      <c r="C5" s="10"/>
      <c r="D5" s="10"/>
      <c r="E5" s="10"/>
      <c r="F5" s="10"/>
      <c r="G5" s="10"/>
    </row>
    <row r="6" spans="1:7" ht="27.75" customHeight="1" x14ac:dyDescent="0.3">
      <c r="B6" s="24" t="s">
        <v>117</v>
      </c>
      <c r="C6" s="24" t="s">
        <v>146</v>
      </c>
      <c r="D6" s="24" t="s">
        <v>147</v>
      </c>
      <c r="E6" s="24" t="s">
        <v>148</v>
      </c>
    </row>
    <row r="7" spans="1:7" x14ac:dyDescent="0.3">
      <c r="B7" s="25">
        <v>1</v>
      </c>
      <c r="C7" s="46">
        <f>'4.3 Sigmoid Rerank'!$F$18</f>
        <v>1</v>
      </c>
      <c r="D7" s="38">
        <f>C7</f>
        <v>1</v>
      </c>
      <c r="E7" s="43">
        <f>D7/B7</f>
        <v>1</v>
      </c>
    </row>
    <row r="8" spans="1:7" x14ac:dyDescent="0.3">
      <c r="B8" s="25">
        <v>2</v>
      </c>
      <c r="C8" s="46">
        <f>'4.3 Sigmoid Rerank'!$F$19</f>
        <v>0</v>
      </c>
      <c r="D8" s="38">
        <f>D7+C8</f>
        <v>1</v>
      </c>
      <c r="E8" s="43">
        <f>D8/B8</f>
        <v>0.5</v>
      </c>
    </row>
    <row r="9" spans="1:7" x14ac:dyDescent="0.3">
      <c r="B9" s="25">
        <v>3</v>
      </c>
      <c r="C9" s="46">
        <f>'4.3 Sigmoid Rerank'!$F$20</f>
        <v>1</v>
      </c>
      <c r="D9" s="38">
        <f>D8+C9</f>
        <v>2</v>
      </c>
      <c r="E9" s="43">
        <f>D9/B9</f>
        <v>0.66666666666666663</v>
      </c>
    </row>
    <row r="10" spans="1:7" x14ac:dyDescent="0.3">
      <c r="B10" s="25">
        <v>4</v>
      </c>
      <c r="C10" s="46">
        <f>'4.3 Sigmoid Rerank'!$F$21</f>
        <v>0</v>
      </c>
      <c r="D10" s="38">
        <f>D9+C10</f>
        <v>2</v>
      </c>
      <c r="E10" s="43">
        <f>D10/B10</f>
        <v>0.5</v>
      </c>
    </row>
    <row r="11" spans="1:7" x14ac:dyDescent="0.3">
      <c r="B11" s="25">
        <v>5</v>
      </c>
      <c r="C11" s="46">
        <f>'4.3 Sigmoid Rerank'!$F$22</f>
        <v>0</v>
      </c>
      <c r="D11" s="38">
        <f>D10+C11</f>
        <v>2</v>
      </c>
      <c r="E11" s="43">
        <f>D11/B11</f>
        <v>0.4</v>
      </c>
    </row>
    <row r="13" spans="1:7" ht="15" customHeight="1" x14ac:dyDescent="0.3">
      <c r="B13" s="59" t="s">
        <v>149</v>
      </c>
      <c r="C13" s="59"/>
      <c r="D13" s="59"/>
      <c r="E13" s="59"/>
      <c r="F13" s="59"/>
      <c r="G13" s="59"/>
    </row>
  </sheetData>
  <mergeCells count="5">
    <mergeCell ref="A1:G1"/>
    <mergeCell ref="A2:G2"/>
    <mergeCell ref="A3:G3"/>
    <mergeCell ref="A5:G5"/>
    <mergeCell ref="B13:G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showGridLines="0" zoomScaleNormal="100" workbookViewId="0">
      <selection activeCell="E12" sqref="E12"/>
    </sheetView>
  </sheetViews>
  <sheetFormatPr defaultColWidth="8.6640625" defaultRowHeight="14.4" x14ac:dyDescent="0.3"/>
  <cols>
    <col min="1" max="1" width="4" customWidth="1"/>
    <col min="2" max="2" width="14" customWidth="1"/>
    <col min="3" max="5" width="16" customWidth="1"/>
    <col min="6" max="6" width="14" customWidth="1"/>
    <col min="7" max="7" width="8" customWidth="1"/>
  </cols>
  <sheetData>
    <row r="1" spans="1:7" ht="30" customHeight="1" x14ac:dyDescent="0.3">
      <c r="A1" s="14" t="s">
        <v>150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151</v>
      </c>
      <c r="B2" s="13"/>
      <c r="C2" s="13"/>
      <c r="D2" s="13"/>
      <c r="E2" s="13"/>
      <c r="F2" s="13"/>
      <c r="G2" s="13"/>
    </row>
    <row r="3" spans="1:7" ht="49.2" customHeight="1" x14ac:dyDescent="0.3">
      <c r="A3" s="58"/>
      <c r="B3" s="58"/>
      <c r="C3" s="58"/>
      <c r="D3" s="58"/>
      <c r="E3" s="58"/>
      <c r="F3" s="58"/>
      <c r="G3" s="58"/>
    </row>
    <row r="4" spans="1:7" x14ac:dyDescent="0.3">
      <c r="A4" s="65"/>
    </row>
    <row r="5" spans="1:7" ht="15" customHeight="1" x14ac:dyDescent="0.3">
      <c r="A5" s="10" t="s">
        <v>152</v>
      </c>
      <c r="B5" s="10"/>
      <c r="C5" s="10"/>
      <c r="D5" s="10"/>
      <c r="E5" s="10"/>
      <c r="F5" s="10"/>
      <c r="G5" s="10"/>
    </row>
    <row r="6" spans="1:7" ht="24" customHeight="1" x14ac:dyDescent="0.3">
      <c r="B6" s="24" t="s">
        <v>117</v>
      </c>
      <c r="C6" s="24" t="s">
        <v>153</v>
      </c>
      <c r="D6" s="24" t="s">
        <v>154</v>
      </c>
      <c r="E6" s="24" t="s">
        <v>155</v>
      </c>
    </row>
    <row r="7" spans="1:7" x14ac:dyDescent="0.3">
      <c r="B7" s="25">
        <v>1</v>
      </c>
      <c r="C7" s="47">
        <f>'4.7 Precision per-k'!$E$7</f>
        <v>1</v>
      </c>
      <c r="D7" s="48">
        <f>'4.7 Precision per-k'!$C$7</f>
        <v>1</v>
      </c>
      <c r="E7" s="43">
        <f>C7*D7</f>
        <v>1</v>
      </c>
    </row>
    <row r="8" spans="1:7" x14ac:dyDescent="0.3">
      <c r="B8" s="25">
        <v>2</v>
      </c>
      <c r="C8" s="47">
        <f>'4.7 Precision per-k'!$E$8</f>
        <v>0.5</v>
      </c>
      <c r="D8" s="48">
        <f>'4.7 Precision per-k'!$C$8</f>
        <v>0</v>
      </c>
      <c r="E8" s="43">
        <f>C8*D8</f>
        <v>0</v>
      </c>
    </row>
    <row r="9" spans="1:7" x14ac:dyDescent="0.3">
      <c r="B9" s="25">
        <v>3</v>
      </c>
      <c r="C9" s="47">
        <f>'4.7 Precision per-k'!$E$9</f>
        <v>0.66666666666666663</v>
      </c>
      <c r="D9" s="48">
        <f>'4.7 Precision per-k'!$C$9</f>
        <v>1</v>
      </c>
      <c r="E9" s="43">
        <f>C9*D9</f>
        <v>0.66666666666666663</v>
      </c>
    </row>
    <row r="10" spans="1:7" x14ac:dyDescent="0.3">
      <c r="B10" s="25">
        <v>4</v>
      </c>
      <c r="C10" s="47">
        <f>'4.7 Precision per-k'!$E$10</f>
        <v>0.5</v>
      </c>
      <c r="D10" s="48">
        <f>'4.7 Precision per-k'!$C$10</f>
        <v>0</v>
      </c>
      <c r="E10" s="43">
        <f>C10*D10</f>
        <v>0</v>
      </c>
    </row>
    <row r="11" spans="1:7" x14ac:dyDescent="0.3">
      <c r="B11" s="25">
        <v>5</v>
      </c>
      <c r="C11" s="47">
        <f>'4.7 Precision per-k'!$E$11</f>
        <v>0.4</v>
      </c>
      <c r="D11" s="48">
        <f>'4.7 Precision per-k'!$C$11</f>
        <v>0</v>
      </c>
      <c r="E11" s="43">
        <f>C11*D11</f>
        <v>0</v>
      </c>
    </row>
    <row r="12" spans="1:7" x14ac:dyDescent="0.3">
      <c r="B12" s="61" t="s">
        <v>156</v>
      </c>
      <c r="C12" s="61"/>
      <c r="D12" s="61"/>
      <c r="E12" s="49">
        <f>SUM(E7:E11)</f>
        <v>1.6666666666666665</v>
      </c>
    </row>
    <row r="13" spans="1:7" x14ac:dyDescent="0.3">
      <c r="B13" s="61" t="s">
        <v>157</v>
      </c>
      <c r="C13" s="61"/>
      <c r="D13" s="61"/>
      <c r="E13" s="50">
        <f>SUM(D7:D11)</f>
        <v>2</v>
      </c>
    </row>
    <row r="14" spans="1:7" ht="15.6" x14ac:dyDescent="0.3">
      <c r="B14" s="61" t="s">
        <v>158</v>
      </c>
      <c r="C14" s="61"/>
      <c r="D14" s="61"/>
      <c r="E14" s="40">
        <f>E12/E13</f>
        <v>0.83333333333333326</v>
      </c>
    </row>
    <row r="16" spans="1:7" ht="15" customHeight="1" x14ac:dyDescent="0.3">
      <c r="B16" s="59" t="s">
        <v>159</v>
      </c>
      <c r="C16" s="59"/>
      <c r="D16" s="59"/>
      <c r="E16" s="59"/>
      <c r="F16" s="59"/>
      <c r="G16" s="59"/>
    </row>
  </sheetData>
  <mergeCells count="8">
    <mergeCell ref="B13:D13"/>
    <mergeCell ref="B14:D14"/>
    <mergeCell ref="B16:G16"/>
    <mergeCell ref="A1:G1"/>
    <mergeCell ref="A2:G2"/>
    <mergeCell ref="A3:G3"/>
    <mergeCell ref="A5:G5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showGridLines="0" zoomScaleNormal="100" workbookViewId="0">
      <selection activeCell="F13" sqref="F13"/>
    </sheetView>
  </sheetViews>
  <sheetFormatPr defaultColWidth="8.6640625" defaultRowHeight="14.4" x14ac:dyDescent="0.3"/>
  <cols>
    <col min="1" max="1" width="4" customWidth="1"/>
    <col min="2" max="3" width="16" customWidth="1"/>
    <col min="4" max="4" width="18" customWidth="1"/>
    <col min="5" max="5" width="16" customWidth="1"/>
    <col min="6" max="6" width="8" customWidth="1"/>
  </cols>
  <sheetData>
    <row r="1" spans="1:6" ht="30" customHeight="1" x14ac:dyDescent="0.3">
      <c r="A1" s="14" t="s">
        <v>160</v>
      </c>
      <c r="B1" s="14"/>
      <c r="C1" s="14"/>
      <c r="D1" s="14"/>
      <c r="E1" s="14"/>
      <c r="F1" s="14"/>
    </row>
    <row r="2" spans="1:6" ht="18" customHeight="1" x14ac:dyDescent="0.3">
      <c r="A2" s="13" t="s">
        <v>161</v>
      </c>
      <c r="B2" s="13"/>
      <c r="C2" s="13"/>
      <c r="D2" s="13"/>
      <c r="E2" s="13"/>
      <c r="F2" s="13"/>
    </row>
    <row r="3" spans="1:6" ht="59.4" customHeight="1" x14ac:dyDescent="0.3">
      <c r="A3" s="58"/>
      <c r="B3" s="58"/>
      <c r="C3" s="58"/>
      <c r="D3" s="58"/>
      <c r="E3" s="58"/>
      <c r="F3" s="58"/>
    </row>
    <row r="4" spans="1:6" x14ac:dyDescent="0.3">
      <c r="A4" s="65"/>
    </row>
    <row r="5" spans="1:6" ht="26.4" x14ac:dyDescent="0.3">
      <c r="B5" s="18" t="s">
        <v>162</v>
      </c>
      <c r="C5" s="23">
        <f>PARAMETER!$C$13</f>
        <v>10</v>
      </c>
    </row>
    <row r="7" spans="1:6" ht="15" customHeight="1" x14ac:dyDescent="0.3">
      <c r="A7" s="10" t="s">
        <v>163</v>
      </c>
      <c r="B7" s="10"/>
      <c r="C7" s="10"/>
      <c r="D7" s="10"/>
      <c r="E7" s="10"/>
      <c r="F7" s="10"/>
    </row>
    <row r="8" spans="1:6" x14ac:dyDescent="0.3">
      <c r="B8" s="24" t="s">
        <v>164</v>
      </c>
      <c r="C8" s="24" t="s">
        <v>165</v>
      </c>
      <c r="D8" s="24" t="s">
        <v>166</v>
      </c>
      <c r="E8" s="24" t="s">
        <v>167</v>
      </c>
    </row>
    <row r="9" spans="1:6" x14ac:dyDescent="0.3">
      <c r="B9" s="25" t="s">
        <v>168</v>
      </c>
      <c r="C9" s="51">
        <v>1</v>
      </c>
      <c r="D9" s="51">
        <v>0.70879999999999999</v>
      </c>
      <c r="E9" s="51">
        <v>1</v>
      </c>
    </row>
    <row r="10" spans="1:6" x14ac:dyDescent="0.3">
      <c r="B10" s="25" t="s">
        <v>169</v>
      </c>
      <c r="C10" s="51">
        <v>1</v>
      </c>
      <c r="D10" s="51">
        <v>0.94610000000000005</v>
      </c>
      <c r="E10" s="51">
        <v>0</v>
      </c>
    </row>
    <row r="11" spans="1:6" x14ac:dyDescent="0.3">
      <c r="B11" s="25" t="s">
        <v>170</v>
      </c>
      <c r="C11" s="51">
        <v>1</v>
      </c>
      <c r="D11" s="47">
        <f>'4.6 Answer Relevancy'!$C$14</f>
        <v>0.84389999999999998</v>
      </c>
      <c r="E11" s="47">
        <f>'4.8 Context Precision'!$E$14</f>
        <v>0.83333333333333326</v>
      </c>
    </row>
    <row r="12" spans="1:6" x14ac:dyDescent="0.3">
      <c r="B12" s="25" t="s">
        <v>171</v>
      </c>
      <c r="C12" s="51">
        <v>1</v>
      </c>
      <c r="D12" s="51">
        <v>0.99870000000000003</v>
      </c>
      <c r="E12" s="51">
        <v>1</v>
      </c>
    </row>
    <row r="13" spans="1:6" x14ac:dyDescent="0.3">
      <c r="B13" s="25" t="s">
        <v>172</v>
      </c>
      <c r="C13" s="51">
        <v>1</v>
      </c>
      <c r="D13" s="51">
        <v>0.93410000000000004</v>
      </c>
      <c r="E13" s="51">
        <v>0.5</v>
      </c>
    </row>
    <row r="14" spans="1:6" x14ac:dyDescent="0.3">
      <c r="B14" s="25" t="s">
        <v>173</v>
      </c>
      <c r="C14" s="47">
        <f>'4.5 Faithfulness'!$F$10</f>
        <v>0.81818181818181823</v>
      </c>
      <c r="D14" s="51">
        <v>0.99850000000000005</v>
      </c>
      <c r="E14" s="51">
        <v>1</v>
      </c>
    </row>
    <row r="15" spans="1:6" x14ac:dyDescent="0.3">
      <c r="B15" s="25" t="s">
        <v>174</v>
      </c>
      <c r="C15" s="51">
        <v>1</v>
      </c>
      <c r="D15" s="51">
        <v>0.93310000000000004</v>
      </c>
      <c r="E15" s="51">
        <v>1</v>
      </c>
    </row>
    <row r="16" spans="1:6" x14ac:dyDescent="0.3">
      <c r="B16" s="25" t="s">
        <v>175</v>
      </c>
      <c r="C16" s="51">
        <v>1</v>
      </c>
      <c r="D16" s="51">
        <v>0.79879999999999995</v>
      </c>
      <c r="E16" s="51">
        <v>1</v>
      </c>
    </row>
    <row r="17" spans="2:6" x14ac:dyDescent="0.3">
      <c r="B17" s="25" t="s">
        <v>176</v>
      </c>
      <c r="C17" s="51">
        <v>1</v>
      </c>
      <c r="D17" s="51">
        <v>0.99570000000000003</v>
      </c>
      <c r="E17" s="51">
        <v>1</v>
      </c>
    </row>
    <row r="18" spans="2:6" x14ac:dyDescent="0.3">
      <c r="B18" s="25" t="s">
        <v>177</v>
      </c>
      <c r="C18" s="51">
        <v>1</v>
      </c>
      <c r="D18" s="51">
        <v>0.98870000000000002</v>
      </c>
      <c r="E18" s="51">
        <v>1</v>
      </c>
    </row>
    <row r="19" spans="2:6" ht="15.6" x14ac:dyDescent="0.3">
      <c r="B19" s="52" t="s">
        <v>178</v>
      </c>
      <c r="C19" s="40">
        <f>AVERAGE(C9:C18)</f>
        <v>0.98181818181818181</v>
      </c>
      <c r="D19" s="40">
        <f>AVERAGE(D9:D18)</f>
        <v>0.91464000000000001</v>
      </c>
      <c r="E19" s="40">
        <f>AVERAGE(E9:E18)</f>
        <v>0.83333333333333326</v>
      </c>
    </row>
    <row r="21" spans="2:6" ht="22.35" customHeight="1" x14ac:dyDescent="0.3">
      <c r="B21" s="59" t="s">
        <v>179</v>
      </c>
      <c r="C21" s="59"/>
      <c r="D21" s="59"/>
      <c r="E21" s="59"/>
      <c r="F21" s="59"/>
    </row>
  </sheetData>
  <mergeCells count="5">
    <mergeCell ref="A1:F1"/>
    <mergeCell ref="A2:F2"/>
    <mergeCell ref="A3:F3"/>
    <mergeCell ref="A7:F7"/>
    <mergeCell ref="B21:F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showGridLines="0" zoomScaleNormal="100" workbookViewId="0">
      <selection activeCell="D11" sqref="D11"/>
    </sheetView>
  </sheetViews>
  <sheetFormatPr defaultColWidth="8.6640625" defaultRowHeight="14.4" x14ac:dyDescent="0.3"/>
  <cols>
    <col min="1" max="1" width="4" customWidth="1"/>
    <col min="2" max="2" width="22" customWidth="1"/>
    <col min="3" max="4" width="14" customWidth="1"/>
    <col min="5" max="5" width="16" customWidth="1"/>
    <col min="6" max="6" width="14" customWidth="1"/>
    <col min="7" max="7" width="8" customWidth="1"/>
  </cols>
  <sheetData>
    <row r="1" spans="1:7" ht="30" customHeight="1" x14ac:dyDescent="0.3">
      <c r="A1" s="14" t="s">
        <v>180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181</v>
      </c>
      <c r="B2" s="13"/>
      <c r="C2" s="13"/>
      <c r="D2" s="13"/>
      <c r="E2" s="13"/>
      <c r="F2" s="13"/>
      <c r="G2" s="13"/>
    </row>
    <row r="3" spans="1:7" ht="42.6" customHeight="1" x14ac:dyDescent="0.3">
      <c r="A3" s="58"/>
      <c r="B3" s="58"/>
      <c r="C3" s="58"/>
      <c r="D3" s="58"/>
      <c r="E3" s="58"/>
      <c r="F3" s="58"/>
      <c r="G3" s="58"/>
    </row>
    <row r="4" spans="1:7" x14ac:dyDescent="0.3">
      <c r="A4" s="65"/>
    </row>
    <row r="5" spans="1:7" x14ac:dyDescent="0.3">
      <c r="B5" s="18" t="s">
        <v>182</v>
      </c>
      <c r="C5" s="23">
        <f>PARAMETER!$C$14</f>
        <v>3</v>
      </c>
    </row>
    <row r="7" spans="1:7" ht="15" customHeight="1" x14ac:dyDescent="0.3">
      <c r="A7" s="10" t="s">
        <v>183</v>
      </c>
      <c r="B7" s="10"/>
      <c r="C7" s="10"/>
      <c r="D7" s="10"/>
      <c r="E7" s="10"/>
      <c r="F7" s="10"/>
      <c r="G7" s="10"/>
    </row>
    <row r="8" spans="1:7" x14ac:dyDescent="0.3">
      <c r="B8" s="24" t="s">
        <v>184</v>
      </c>
      <c r="C8" s="24" t="s">
        <v>185</v>
      </c>
      <c r="D8" s="24" t="s">
        <v>186</v>
      </c>
      <c r="E8" s="24" t="s">
        <v>187</v>
      </c>
      <c r="F8" s="24" t="s">
        <v>188</v>
      </c>
    </row>
    <row r="9" spans="1:7" x14ac:dyDescent="0.3">
      <c r="B9" s="53" t="s">
        <v>165</v>
      </c>
      <c r="C9" s="51">
        <v>0.98</v>
      </c>
      <c r="D9" s="51">
        <v>0.98180000000000001</v>
      </c>
      <c r="E9" s="47">
        <f>'4.9 Rata-rata per Run'!$C$19</f>
        <v>0.98181818181818181</v>
      </c>
      <c r="F9" s="54">
        <f>AVERAGE(C9:E9)</f>
        <v>0.98120606060606053</v>
      </c>
    </row>
    <row r="10" spans="1:7" x14ac:dyDescent="0.3">
      <c r="B10" s="53" t="s">
        <v>166</v>
      </c>
      <c r="C10" s="51">
        <v>0.91500000000000004</v>
      </c>
      <c r="D10" s="51">
        <v>0.91420000000000001</v>
      </c>
      <c r="E10" s="47">
        <f>'4.9 Rata-rata per Run'!$D$19</f>
        <v>0.91464000000000001</v>
      </c>
      <c r="F10" s="54">
        <f>AVERAGE(C10:E10)</f>
        <v>0.91461333333333339</v>
      </c>
    </row>
    <row r="11" spans="1:7" x14ac:dyDescent="0.3">
      <c r="B11" s="53" t="s">
        <v>167</v>
      </c>
      <c r="C11" s="51">
        <v>0.78059999999999996</v>
      </c>
      <c r="D11" s="51">
        <v>0.7833</v>
      </c>
      <c r="E11" s="47">
        <f>'4.9 Rata-rata per Run'!$E$19</f>
        <v>0.83333333333333326</v>
      </c>
      <c r="F11" s="54">
        <f>AVERAGE(C11:E11)</f>
        <v>0.79907777777777778</v>
      </c>
    </row>
    <row r="13" spans="1:7" ht="15" customHeight="1" x14ac:dyDescent="0.3">
      <c r="B13" s="59" t="s">
        <v>189</v>
      </c>
      <c r="C13" s="59"/>
      <c r="D13" s="59"/>
      <c r="E13" s="59"/>
      <c r="F13" s="59"/>
      <c r="G13" s="59"/>
    </row>
  </sheetData>
  <mergeCells count="5">
    <mergeCell ref="A1:G1"/>
    <mergeCell ref="A2:G2"/>
    <mergeCell ref="A3:G3"/>
    <mergeCell ref="A7:G7"/>
    <mergeCell ref="B13:G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showGridLines="0" zoomScaleNormal="100" workbookViewId="0">
      <selection activeCell="C7" sqref="C7"/>
    </sheetView>
  </sheetViews>
  <sheetFormatPr defaultColWidth="8.6640625" defaultRowHeight="14.4" x14ac:dyDescent="0.3"/>
  <cols>
    <col min="1" max="1" width="4" customWidth="1"/>
    <col min="2" max="2" width="22" customWidth="1"/>
    <col min="3" max="3" width="14" customWidth="1"/>
    <col min="4" max="4" width="18" customWidth="1"/>
    <col min="5" max="6" width="14" customWidth="1"/>
    <col min="7" max="7" width="8" customWidth="1"/>
  </cols>
  <sheetData>
    <row r="1" spans="1:7" ht="30" customHeight="1" x14ac:dyDescent="0.3">
      <c r="A1" s="14" t="s">
        <v>190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191</v>
      </c>
      <c r="B2" s="13"/>
      <c r="C2" s="13"/>
      <c r="D2" s="13"/>
      <c r="E2" s="13"/>
      <c r="F2" s="13"/>
      <c r="G2" s="13"/>
    </row>
    <row r="3" spans="1:7" ht="45.6" customHeight="1" x14ac:dyDescent="0.3">
      <c r="A3" s="58"/>
      <c r="B3" s="58"/>
      <c r="C3" s="58"/>
      <c r="D3" s="58"/>
      <c r="E3" s="58"/>
      <c r="F3" s="58"/>
      <c r="G3" s="58"/>
    </row>
    <row r="4" spans="1:7" x14ac:dyDescent="0.3">
      <c r="A4" s="65"/>
    </row>
    <row r="5" spans="1:7" ht="15" customHeight="1" x14ac:dyDescent="0.3">
      <c r="A5" s="10" t="s">
        <v>192</v>
      </c>
      <c r="B5" s="10"/>
      <c r="C5" s="10"/>
      <c r="D5" s="10"/>
      <c r="E5" s="10"/>
      <c r="F5" s="10"/>
      <c r="G5" s="10"/>
    </row>
    <row r="6" spans="1:7" ht="26.4" x14ac:dyDescent="0.3">
      <c r="B6" s="24" t="s">
        <v>184</v>
      </c>
      <c r="C6" s="24" t="s">
        <v>193</v>
      </c>
      <c r="D6" s="24" t="s">
        <v>194</v>
      </c>
      <c r="E6" s="24" t="s">
        <v>195</v>
      </c>
      <c r="F6" s="24" t="s">
        <v>196</v>
      </c>
    </row>
    <row r="7" spans="1:7" x14ac:dyDescent="0.3">
      <c r="B7" s="53" t="s">
        <v>166</v>
      </c>
      <c r="C7" s="51">
        <v>0.81369999999999998</v>
      </c>
      <c r="D7" s="47">
        <f>'4.10 Skor Akhir'!$F$10</f>
        <v>0.91461333333333339</v>
      </c>
      <c r="E7" s="55">
        <f>ROUND(D7,4)-C7</f>
        <v>0.10089999999999999</v>
      </c>
      <c r="F7" s="56">
        <f>(ROUND(D7,4)-C7)/C7</f>
        <v>0.124001474744992</v>
      </c>
    </row>
    <row r="8" spans="1:7" x14ac:dyDescent="0.3">
      <c r="B8" s="53" t="s">
        <v>167</v>
      </c>
      <c r="C8" s="51">
        <v>0.7</v>
      </c>
      <c r="D8" s="47">
        <f>'4.10 Skor Akhir'!$F$11</f>
        <v>0.79907777777777778</v>
      </c>
      <c r="E8" s="55">
        <f>ROUND(D8,4)-C8</f>
        <v>9.9100000000000077E-2</v>
      </c>
      <c r="F8" s="56">
        <f>(ROUND(D8,4)-C8)/C8</f>
        <v>0.14157142857142868</v>
      </c>
    </row>
    <row r="9" spans="1:7" x14ac:dyDescent="0.3">
      <c r="B9" s="53" t="s">
        <v>165</v>
      </c>
      <c r="C9" s="51">
        <v>0.99239999999999995</v>
      </c>
      <c r="D9" s="47">
        <f>'4.10 Skor Akhir'!$F$9</f>
        <v>0.98120606060606053</v>
      </c>
      <c r="E9" s="55">
        <f>ROUND(D9,4)-C9</f>
        <v>-1.1199999999999988E-2</v>
      </c>
      <c r="F9" s="56">
        <f>(ROUND(D9,4)-C9)/C9</f>
        <v>-1.128577186618298E-2</v>
      </c>
    </row>
    <row r="11" spans="1:7" ht="15" customHeight="1" x14ac:dyDescent="0.3">
      <c r="B11" s="59" t="s">
        <v>197</v>
      </c>
      <c r="C11" s="59"/>
      <c r="D11" s="59"/>
      <c r="E11" s="59"/>
      <c r="F11" s="59"/>
      <c r="G11" s="59"/>
    </row>
  </sheetData>
  <mergeCells count="5">
    <mergeCell ref="A1:G1"/>
    <mergeCell ref="A2:G2"/>
    <mergeCell ref="A3:G3"/>
    <mergeCell ref="A5:G5"/>
    <mergeCell ref="B11:G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showGridLines="0" zoomScaleNormal="100" workbookViewId="0">
      <selection activeCell="B13" sqref="B13:F13"/>
    </sheetView>
  </sheetViews>
  <sheetFormatPr defaultColWidth="8.6640625" defaultRowHeight="14.4" x14ac:dyDescent="0.3"/>
  <cols>
    <col min="1" max="1" width="4" customWidth="1"/>
    <col min="2" max="2" width="40" customWidth="1"/>
    <col min="3" max="3" width="16" customWidth="1"/>
    <col min="4" max="5" width="14" customWidth="1"/>
    <col min="6" max="6" width="8" customWidth="1"/>
  </cols>
  <sheetData>
    <row r="1" spans="1:6" ht="25.5" customHeight="1" x14ac:dyDescent="0.3">
      <c r="A1" s="62" t="s">
        <v>198</v>
      </c>
      <c r="B1" s="62"/>
      <c r="C1" s="62"/>
      <c r="D1" s="62"/>
      <c r="E1" s="62"/>
      <c r="F1" s="62"/>
    </row>
    <row r="2" spans="1:6" ht="15" customHeight="1" x14ac:dyDescent="0.3">
      <c r="A2" s="63" t="s">
        <v>199</v>
      </c>
      <c r="B2" s="63"/>
      <c r="C2" s="63"/>
      <c r="D2" s="63"/>
      <c r="E2" s="63"/>
      <c r="F2" s="63"/>
    </row>
    <row r="4" spans="1:6" ht="40.799999999999997" customHeight="1" x14ac:dyDescent="0.3">
      <c r="A4" s="58"/>
      <c r="B4" s="58"/>
      <c r="C4" s="58"/>
      <c r="D4" s="58"/>
      <c r="E4" s="58"/>
      <c r="F4" s="58"/>
    </row>
    <row r="5" spans="1:6" x14ac:dyDescent="0.3">
      <c r="A5" s="65"/>
    </row>
    <row r="6" spans="1:6" ht="15" customHeight="1" x14ac:dyDescent="0.3">
      <c r="A6" s="10" t="s">
        <v>200</v>
      </c>
      <c r="B6" s="10"/>
      <c r="C6" s="10"/>
      <c r="D6" s="10"/>
      <c r="E6" s="10"/>
      <c r="F6" s="10"/>
    </row>
    <row r="7" spans="1:6" x14ac:dyDescent="0.3">
      <c r="B7" s="22" t="s">
        <v>201</v>
      </c>
      <c r="C7" s="26">
        <v>17</v>
      </c>
    </row>
    <row r="8" spans="1:6" x14ac:dyDescent="0.3">
      <c r="B8" s="22" t="s">
        <v>202</v>
      </c>
      <c r="C8" s="23">
        <f>PARAMETER!$C$16</f>
        <v>17</v>
      </c>
    </row>
    <row r="10" spans="1:6" ht="15" customHeight="1" x14ac:dyDescent="0.3">
      <c r="A10" s="10" t="s">
        <v>106</v>
      </c>
      <c r="B10" s="10"/>
      <c r="C10" s="10"/>
      <c r="D10" s="10"/>
      <c r="E10" s="10"/>
      <c r="F10" s="10"/>
    </row>
    <row r="11" spans="1:6" ht="15" customHeight="1" x14ac:dyDescent="0.3">
      <c r="B11" s="5" t="s">
        <v>203</v>
      </c>
      <c r="C11" s="5"/>
      <c r="D11" s="5"/>
      <c r="E11" s="57">
        <f>C7/C8</f>
        <v>1</v>
      </c>
    </row>
    <row r="13" spans="1:6" ht="15" customHeight="1" x14ac:dyDescent="0.3">
      <c r="B13" s="64" t="s">
        <v>204</v>
      </c>
      <c r="C13" s="64"/>
      <c r="D13" s="64"/>
      <c r="E13" s="64"/>
      <c r="F13" s="64"/>
    </row>
  </sheetData>
  <mergeCells count="7">
    <mergeCell ref="B11:D11"/>
    <mergeCell ref="B13:F13"/>
    <mergeCell ref="A1:F1"/>
    <mergeCell ref="A2:F2"/>
    <mergeCell ref="A4:F4"/>
    <mergeCell ref="A6:F6"/>
    <mergeCell ref="A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PARAMETER</vt:lpstr>
      <vt:lpstr>PETUNJUK</vt:lpstr>
      <vt:lpstr>2.1 RRF Dasar</vt:lpstr>
      <vt:lpstr>2.2 RRF Berbobot</vt:lpstr>
      <vt:lpstr>4.1 RRF Implementasi</vt:lpstr>
      <vt:lpstr>4.2 Normalisasi</vt:lpstr>
      <vt:lpstr>4.3 Sigmoid Rerank</vt:lpstr>
      <vt:lpstr>4.5 Faithfulness</vt:lpstr>
      <vt:lpstr>4.6 Answer Relevancy</vt:lpstr>
      <vt:lpstr>4.7 Precision per-k</vt:lpstr>
      <vt:lpstr>4.8 Context Precision</vt:lpstr>
      <vt:lpstr>4.9 Rata-rata per Run</vt:lpstr>
      <vt:lpstr>4.10 Skor Akhir</vt:lpstr>
      <vt:lpstr>Persentase Peningkatan</vt:lpstr>
      <vt:lpstr>4.4 Black Box (Terpisah)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Iqbal Ali</cp:lastModifiedBy>
  <cp:revision>0</cp:revision>
  <dcterms:created xsi:type="dcterms:W3CDTF">2026-06-29T18:09:04Z</dcterms:created>
  <dcterms:modified xsi:type="dcterms:W3CDTF">2026-06-29T19:21:42Z</dcterms:modified>
  <dc:language>en-US</dc:language>
</cp:coreProperties>
</file>